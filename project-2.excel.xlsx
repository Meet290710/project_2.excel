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10_Dashboard" sheetId="1" state="visible" r:id="rId3"/>
    <sheet name="Project Instructions" sheetId="2" state="visible" r:id="rId4"/>
    <sheet name="Dataset" sheetId="3" state="visible" r:id="rId5"/>
    <sheet name="Task1_Top10_Customers" sheetId="4" state="visible" r:id="rId6"/>
    <sheet name="Task2_WhatIf_Analysis" sheetId="5" state="visible" r:id="rId7"/>
    <sheet name="Task3_4_Regression_Stats" sheetId="6" state="visible" r:id="rId8"/>
    <sheet name="Task5_Monthly_Sales_Growth" sheetId="7" state="visible" r:id="rId9"/>
    <sheet name="Task6_Timestamp" sheetId="8" state="visible" r:id="rId10"/>
    <sheet name="Task7_HighValue_Customers" sheetId="9" state="visible" r:id="rId11"/>
    <sheet name="Task8_Pivot_Table" sheetId="10" state="visible" r:id="rId12"/>
    <sheet name="Task9_Chart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<sst xmlns="http://schemas.openxmlformats.org/spreadsheetml/2006/main" count="1195" uniqueCount="262">
  <si>
    <t xml:space="preserve">🚀  SALES ANALYTICS DASHBOARD — PROJECT 2 COMPLETE SOLUTION</t>
  </si>
  <si>
    <t xml:space="preserve">📅 Report Generated: =NOW()   |   Dataset: 200 Records   |   Period: Apr 2024 – Apr 2025   |   Students Complete Project Submission</t>
  </si>
  <si>
    <t xml:space="preserve">💰 Total Revenue</t>
  </si>
  <si>
    <t xml:space="preserve">📈 Total Profit</t>
  </si>
  <si>
    <t xml:space="preserve">📦 Total Orders</t>
  </si>
  <si>
    <t xml:space="preserve">👥 Unique Customers</t>
  </si>
  <si>
    <t xml:space="preserve">$195,218</t>
  </si>
  <si>
    <t xml:space="preserve">$68,287</t>
  </si>
  <si>
    <t xml:space="preserve">200</t>
  </si>
  <si>
    <t xml:space="preserve">30</t>
  </si>
  <si>
    <t xml:space="preserve">🏆 Best Region</t>
  </si>
  <si>
    <t xml:space="preserve">⭐ Top Product</t>
  </si>
  <si>
    <t xml:space="preserve">📊 Avg Order ($)</t>
  </si>
  <si>
    <t xml:space="preserve">💡 Avg Profit ($)</t>
  </si>
  <si>
    <t xml:space="preserve">West</t>
  </si>
  <si>
    <t xml:space="preserve">Books</t>
  </si>
  <si>
    <t xml:space="preserve">$976</t>
  </si>
  <si>
    <t xml:space="preserve">$341</t>
  </si>
  <si>
    <t xml:space="preserve">🌍 REGIONAL PERFORMANCE</t>
  </si>
  <si>
    <t xml:space="preserve">📦 PRODUCT PERFORMANCE</t>
  </si>
  <si>
    <t xml:space="preserve">Region</t>
  </si>
  <si>
    <t xml:space="preserve">Sales ($)</t>
  </si>
  <si>
    <t xml:space="preserve">Profit ($)</t>
  </si>
  <si>
    <t xml:space="preserve">Orders</t>
  </si>
  <si>
    <t xml:space="preserve">Avg Sale ($)</t>
  </si>
  <si>
    <t xml:space="preserve">Margin %</t>
  </si>
  <si>
    <t xml:space="preserve">Rank</t>
  </si>
  <si>
    <t xml:space="preserve">Product</t>
  </si>
  <si>
    <t xml:space="preserve">Central</t>
  </si>
  <si>
    <t xml:space="preserve">Clothing</t>
  </si>
  <si>
    <t xml:space="preserve">South</t>
  </si>
  <si>
    <t xml:space="preserve">Electronics</t>
  </si>
  <si>
    <t xml:space="preserve">North</t>
  </si>
  <si>
    <t xml:space="preserve">Furniture</t>
  </si>
  <si>
    <t xml:space="preserve">East</t>
  </si>
  <si>
    <t xml:space="preserve">Office Supplies</t>
  </si>
  <si>
    <t xml:space="preserve">💡 DATA STORYTELLING &amp; KEY INSIGHTS</t>
  </si>
  <si>
    <t xml:space="preserve">📌 Revenue</t>
  </si>
  <si>
    <t xml:space="preserve">West ($44,084) &amp; Central ($43,468) are top revenue regions. Together they account for 44.5% of total sales.</t>
  </si>
  <si>
    <t xml:space="preserve">📌 Products</t>
  </si>
  <si>
    <t xml:space="preserve">Books lead in sales ($47,002). Clothing has the best profit margin at ~44%. Office Supplies is the weakest performer.</t>
  </si>
  <si>
    <t xml:space="preserve">📌 Regression</t>
  </si>
  <si>
    <t xml:space="preserve">Profit = 0.3509 × Sales – 1.03. R² = 0.598 → Sales explains ~60% of profit variation. Statistically significant (p &lt; 0.001).</t>
  </si>
  <si>
    <t xml:space="preserve">📌 Discounts</t>
  </si>
  <si>
    <t xml:space="preserve">Every 10% discount reduces net profit margin by ~7-8%. Recommended discount cap: 15% for healthy margins.</t>
  </si>
  <si>
    <t xml:space="preserve">📌 Customers</t>
  </si>
  <si>
    <t xml:space="preserve">CUST015 is top customer ($11,611 sales). Top 10 customers generate 47% of total revenue. Focus retention on them.</t>
  </si>
  <si>
    <t xml:space="preserve">📌 Seasonality</t>
  </si>
  <si>
    <t xml:space="preserve">Peak months: June 2024 ($20,188), September 2024 ($20,534), November 2024 ($20,135). Plan promotions accordingly.</t>
  </si>
  <si>
    <t xml:space="preserve">📌 Recommendation</t>
  </si>
  <si>
    <t xml:space="preserve">Invest in West &amp; Central regions. Promote Books and Clothing. Reduce discounts on Electronics. Target CUST015-CUST030 tier.</t>
  </si>
  <si>
    <t xml:space="preserve">🗂️ PROJECT SHEET INDEX</t>
  </si>
  <si>
    <t xml:space="preserve">📋 Dataset</t>
  </si>
  <si>
    <t xml:space="preserve">🏆 Task 1</t>
  </si>
  <si>
    <t xml:space="preserve">📊 Task 2</t>
  </si>
  <si>
    <t xml:space="preserve">📈 Task 3&amp;4</t>
  </si>
  <si>
    <t xml:space="preserve">📅 Task 5</t>
  </si>
  <si>
    <t xml:space="preserve">Full 200-record dataset with timestamp</t>
  </si>
  <si>
    <t xml:space="preserve">Top 10 customers + Conditional Formatting</t>
  </si>
  <si>
    <t xml:space="preserve">What-If Analysis: Discount vs Profit</t>
  </si>
  <si>
    <t xml:space="preserve">Linear Regression + Descriptive Stats</t>
  </si>
  <si>
    <t xml:space="preserve">Monthly Sales Growth with Arrows</t>
  </si>
  <si>
    <t xml:space="preserve">⏰ Task 6</t>
  </si>
  <si>
    <t xml:space="preserve">🎯 Task 7</t>
  </si>
  <si>
    <t xml:space="preserve">📊 Task 8</t>
  </si>
  <si>
    <t xml:space="preserve">📉 Task 9</t>
  </si>
  <si>
    <t xml:space="preserve">Timestamp with NOW() function</t>
  </si>
  <si>
    <t xml:space="preserve">High-Value Customers: INDEX+MATCH</t>
  </si>
  <si>
    <t xml:space="preserve">Pivot Table: Region × Product</t>
  </si>
  <si>
    <t xml:space="preserve">Charts: Bar, Line &amp; Pie</t>
  </si>
  <si>
    <t xml:space="preserve">PR. 2 Analyzer</t>
  </si>
  <si>
    <t xml:space="preserve">Topics:
-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Main Tasks: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
Deliverable:
Complete the given worksheet by applying the required formulas in respective sheets.</t>
  </si>
  <si>
    <t xml:space="preserve">Customer_ID</t>
  </si>
  <si>
    <t xml:space="preserve">Customer_Name</t>
  </si>
  <si>
    <t xml:space="preserve">Product_Category</t>
  </si>
  <si>
    <t xml:space="preserve">Sales</t>
  </si>
  <si>
    <t xml:space="preserve">Quantity</t>
  </si>
  <si>
    <t xml:space="preserve">Discount</t>
  </si>
  <si>
    <t xml:space="preserve">Order_Date</t>
  </si>
  <si>
    <t xml:space="preserve">Profit</t>
  </si>
  <si>
    <t xml:space="preserve">Timestamp</t>
  </si>
  <si>
    <t xml:space="preserve">CUST019</t>
  </si>
  <si>
    <t xml:space="preserve">James Davis</t>
  </si>
  <si>
    <t xml:space="preserve">CUST012</t>
  </si>
  <si>
    <t xml:space="preserve">Robert Anderson</t>
  </si>
  <si>
    <t xml:space="preserve">CUST017</t>
  </si>
  <si>
    <t xml:space="preserve">James Taylor</t>
  </si>
  <si>
    <t xml:space="preserve">CUST005</t>
  </si>
  <si>
    <t xml:space="preserve">CUST030</t>
  </si>
  <si>
    <t xml:space="preserve">James Wilson</t>
  </si>
  <si>
    <t xml:space="preserve">CUST007</t>
  </si>
  <si>
    <t xml:space="preserve">Michael Anderson</t>
  </si>
  <si>
    <t xml:space="preserve">CUST001</t>
  </si>
  <si>
    <t xml:space="preserve">Linda Wilson</t>
  </si>
  <si>
    <t xml:space="preserve">CUST026</t>
  </si>
  <si>
    <t xml:space="preserve">Mary Davis</t>
  </si>
  <si>
    <t xml:space="preserve">CUST009</t>
  </si>
  <si>
    <t xml:space="preserve">Linda Jackson</t>
  </si>
  <si>
    <t xml:space="preserve">CUST010</t>
  </si>
  <si>
    <t xml:space="preserve">David Thomas</t>
  </si>
  <si>
    <t xml:space="preserve">CUST014</t>
  </si>
  <si>
    <t xml:space="preserve">Emma Davis</t>
  </si>
  <si>
    <t xml:space="preserve">CUST023</t>
  </si>
  <si>
    <t xml:space="preserve">CUST029</t>
  </si>
  <si>
    <t xml:space="preserve">David Smith</t>
  </si>
  <si>
    <t xml:space="preserve">Sarah Anderson</t>
  </si>
  <si>
    <t xml:space="preserve">CUST008</t>
  </si>
  <si>
    <t xml:space="preserve">Lisa Thomas</t>
  </si>
  <si>
    <t xml:space="preserve">CUST006</t>
  </si>
  <si>
    <t xml:space="preserve">Mary Jackson</t>
  </si>
  <si>
    <t xml:space="preserve">Lisa Davis</t>
  </si>
  <si>
    <t xml:space="preserve">CUST022</t>
  </si>
  <si>
    <t xml:space="preserve">Linda Brown</t>
  </si>
  <si>
    <t xml:space="preserve">John Brown</t>
  </si>
  <si>
    <t xml:space="preserve">CUST028</t>
  </si>
  <si>
    <t xml:space="preserve">Linda Taylor</t>
  </si>
  <si>
    <t xml:space="preserve">CUST025</t>
  </si>
  <si>
    <t xml:space="preserve">David Brown</t>
  </si>
  <si>
    <t xml:space="preserve">David Davis</t>
  </si>
  <si>
    <t xml:space="preserve">CUST021</t>
  </si>
  <si>
    <t xml:space="preserve">CUST015</t>
  </si>
  <si>
    <t xml:space="preserve">Mary Wilson</t>
  </si>
  <si>
    <t xml:space="preserve">CUST016</t>
  </si>
  <si>
    <t xml:space="preserve">Emma Wilson</t>
  </si>
  <si>
    <t xml:space="preserve">Linda Davis</t>
  </si>
  <si>
    <t xml:space="preserve">CUST011</t>
  </si>
  <si>
    <t xml:space="preserve">Sarah Davis</t>
  </si>
  <si>
    <t xml:space="preserve">CUST002</t>
  </si>
  <si>
    <t xml:space="preserve">Emma Taylor</t>
  </si>
  <si>
    <t xml:space="preserve">CUST003</t>
  </si>
  <si>
    <t xml:space="preserve">CUST020</t>
  </si>
  <si>
    <t xml:space="preserve">Linda Moore</t>
  </si>
  <si>
    <t xml:space="preserve">CUST024</t>
  </si>
  <si>
    <t xml:space="preserve">David Anderson</t>
  </si>
  <si>
    <t xml:space="preserve">CUST004</t>
  </si>
  <si>
    <t xml:space="preserve">CUST013</t>
  </si>
  <si>
    <t xml:space="preserve">CUST027</t>
  </si>
  <si>
    <t xml:space="preserve">CUST018</t>
  </si>
  <si>
    <t xml:space="preserve">🏆 TOP 10 HIGH-VALUE CUSTOMERS (Conditional Formatting Applied on Dataset)</t>
  </si>
  <si>
    <t xml:space="preserve">Total Sales ($)</t>
  </si>
  <si>
    <t xml:space="preserve">Total Profit ($)</t>
  </si>
  <si>
    <t xml:space="preserve">Tier</t>
  </si>
  <si>
    <t xml:space="preserve">🥇 Gold</t>
  </si>
  <si>
    <t xml:space="preserve">🥈 Silver</t>
  </si>
  <si>
    <t xml:space="preserve">🥉 Bronze</t>
  </si>
  <si>
    <t xml:space="preserve">📌 Conditional Formatting: Dataset sheet column E (Sales) highlights cells ≥ 10th largest value with Gold fill and Red bold text.</t>
  </si>
  <si>
    <t xml:space="preserve">📊 WHAT-IF ANALYSIS: IMPACT OF DISCOUNT % ON PROFIT</t>
  </si>
  <si>
    <t xml:space="preserve">⚙️ ASSUMPTIONS (Blue = Input cells you can change)</t>
  </si>
  <si>
    <t xml:space="preserve">Base Sales ($):</t>
  </si>
  <si>
    <t xml:space="preserve">Cost Ratio:</t>
  </si>
  <si>
    <t xml:space="preserve">Tax Rate:</t>
  </si>
  <si>
    <t xml:space="preserve">Discount %</t>
  </si>
  <si>
    <t xml:space="preserve">Net Sales ($)</t>
  </si>
  <si>
    <t xml:space="preserve">Cost ($)</t>
  </si>
  <si>
    <t xml:space="preserve">Gross Profit ($)</t>
  </si>
  <si>
    <t xml:space="preserve">Tax ($)</t>
  </si>
  <si>
    <t xml:space="preserve">Net Profit ($)</t>
  </si>
  <si>
    <t xml:space="preserve">Profit Margin %</t>
  </si>
  <si>
    <t xml:space="preserve">💡 Insight: Discounts above 25% significantly reduce profit. Optimal: 10-15% discount balances customer attraction and profitability.</t>
  </si>
  <si>
    <t xml:space="preserve">📈 TASK 3: LINEAR REGRESSION (Profit vs Sales) + TASK 4: DESCRIPTIVE STATISTICS</t>
  </si>
  <si>
    <t xml:space="preserve">REGRESSION SUMMARY OUTPUT</t>
  </si>
  <si>
    <t xml:space="preserve">Multiple R</t>
  </si>
  <si>
    <t xml:space="preserve">R Square (R²)</t>
  </si>
  <si>
    <t xml:space="preserve">Adjusted R²</t>
  </si>
  <si>
    <t xml:space="preserve">Standard Error</t>
  </si>
  <si>
    <t xml:space="preserve">Observations</t>
  </si>
  <si>
    <t xml:space="preserve">ANOVA TABLE</t>
  </si>
  <si>
    <t xml:space="preserve">Source</t>
  </si>
  <si>
    <t xml:space="preserve">df</t>
  </si>
  <si>
    <t xml:space="preserve">SS</t>
  </si>
  <si>
    <t xml:space="preserve">MS</t>
  </si>
  <si>
    <t xml:space="preserve">F</t>
  </si>
  <si>
    <t xml:space="preserve">Significance F</t>
  </si>
  <si>
    <t xml:space="preserve">Regression</t>
  </si>
  <si>
    <t xml:space="preserve">Residual</t>
  </si>
  <si>
    <t xml:space="preserve">Total</t>
  </si>
  <si>
    <t xml:space="preserve">COEFFICIENTS</t>
  </si>
  <si>
    <t xml:space="preserve">Coefficients</t>
  </si>
  <si>
    <t xml:space="preserve">Std Error</t>
  </si>
  <si>
    <t xml:space="preserve">t Stat</t>
  </si>
  <si>
    <t xml:space="preserve">P-value</t>
  </si>
  <si>
    <t xml:space="preserve">Intercept</t>
  </si>
  <si>
    <t xml:space="preserve">Sales (X)</t>
  </si>
  <si>
    <t xml:space="preserve">📌 Regression Equation: Profit = 0.3509 × Sales + (-1.0316)</t>
  </si>
  <si>
    <t xml:space="preserve">📌 R²=0.5982 → 59.8% variance in Profit explained by Sales. p-value=0.0 → Statistically significant.</t>
  </si>
  <si>
    <t xml:space="preserve">TASK 4: DESCRIPTIVE STATISTICS</t>
  </si>
  <si>
    <t xml:space="preserve">Statistic</t>
  </si>
  <si>
    <t xml:space="preserve">Mean</t>
  </si>
  <si>
    <t xml:space="preserve">Median</t>
  </si>
  <si>
    <t xml:space="preserve">Mode</t>
  </si>
  <si>
    <t xml:space="preserve">Std Deviation</t>
  </si>
  <si>
    <t xml:space="preserve">Sample Variance</t>
  </si>
  <si>
    <t xml:space="preserve">Kurtosis</t>
  </si>
  <si>
    <t xml:space="preserve">Skewness</t>
  </si>
  <si>
    <t xml:space="preserve">Range</t>
  </si>
  <si>
    <t xml:space="preserve">Minimum</t>
  </si>
  <si>
    <t xml:space="preserve">Maximum</t>
  </si>
  <si>
    <t xml:space="preserve">Sum</t>
  </si>
  <si>
    <t xml:space="preserve">Count</t>
  </si>
  <si>
    <t xml:space="preserve">Confidence Level (95%)</t>
  </si>
  <si>
    <t xml:space="preserve">📅 TASK 5: MONTHLY SALES GROWTH WITH UP/DOWN ARROWS (Custom Number Format)</t>
  </si>
  <si>
    <t xml:space="preserve">Month</t>
  </si>
  <si>
    <t xml:space="preserve">Growth ($)</t>
  </si>
  <si>
    <t xml:space="preserve">Growth %</t>
  </si>
  <si>
    <t xml:space="preserve">▲▼ Trend</t>
  </si>
  <si>
    <t xml:space="preserve">2024-04</t>
  </si>
  <si>
    <t xml:space="preserve">—</t>
  </si>
  <si>
    <t xml:space="preserve">▶ Baseline</t>
  </si>
  <si>
    <t xml:space="preserve">2024-05</t>
  </si>
  <si>
    <t xml:space="preserve">▼ 0.0%</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</si>
  <si>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</si>
  <si>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</si>
  <si>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</si>
  <si>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</si>
  <si>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</si>
  <si>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</si>
  <si>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</si>
  <si>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</si>
  <si>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</si>
  <si>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</si>
  <si>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</si>
  <si>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 Custom Format Applied: ▲ Green = Positive Growth | ▼ Red = Negative Growth | ▶ Gray = Baseline</t>
  </si>
  <si>
    <t xml:space="preserve">⏰ TASK 6: TIMESTAMP USING NOW() FUNCTION</t>
  </si>
  <si>
    <t xml:space="preserve">The NOW() function creates dynamic timestamps. The Dataset sheet Column J has timestamps for all 200 records.</t>
  </si>
  <si>
    <t xml:space="preserve">Record_ID</t>
  </si>
  <si>
    <t xml:space="preserve">Description</t>
  </si>
  <si>
    <t xml:space="preserve">Timestamp (NOW())</t>
  </si>
  <si>
    <t xml:space="preserve">Date Only (TODAY())</t>
  </si>
  <si>
    <t xml:space="preserve">TS001</t>
  </si>
  <si>
    <t xml:space="preserve">File Opened / Project Submitted</t>
  </si>
  <si>
    <t xml:space="preserve">TS002</t>
  </si>
  <si>
    <t xml:space="preserve">Data Entry Recorded</t>
  </si>
  <si>
    <t xml:space="preserve">TS003</t>
  </si>
  <si>
    <t xml:space="preserve">Last Modified Timestamp</t>
  </si>
  <si>
    <t xml:space="preserve">TS004</t>
  </si>
  <si>
    <t xml:space="preserve">Report Generated At</t>
  </si>
  <si>
    <t xml:space="preserve">TS005</t>
  </si>
  <si>
    <t xml:space="preserve">Dataset Analysis Time</t>
  </si>
  <si>
    <t xml:space="preserve">📌 NOW() = Date + Time (dynamic). TODAY() = Date only. Both auto-update when file is opened. See Dataset column J for full implementation.</t>
  </si>
  <si>
    <t xml:space="preserve">🎯 TASK 7: HIGH-VALUE CUSTOMERS — GROUPBY + INDEX() + MATCH() Analysis</t>
  </si>
  <si>
    <t xml:space="preserve">Avg Discount</t>
  </si>
  <si>
    <t xml:space="preserve">Top Category</t>
  </si>
  <si>
    <t xml:space="preserve">Value Tier</t>
  </si>
  <si>
    <t xml:space="preserve">🔴 High-Value</t>
  </si>
  <si>
    <t xml:space="preserve">🟡 Mid-Value</t>
  </si>
  <si>
    <t xml:space="preserve">🟢 Standard</t>
  </si>
  <si>
    <t xml:space="preserve">🔍 INDEX + MATCH FORMULA DEMONSTRATION</t>
  </si>
  <si>
    <t xml:space="preserve">Enter Customer ID →</t>
  </si>
  <si>
    <t xml:space="preserve">Total Sales (INDEX+MATCH):</t>
  </si>
  <si>
    <t xml:space="preserve">Total Profit (INDEX+MATCH):</t>
  </si>
  <si>
    <t xml:space="preserve">Order Count (INDEX+MATCH):</t>
  </si>
  <si>
    <t xml:space="preserve">Value Tier (INDEX+MATCH):</t>
  </si>
  <si>
    <t xml:space="preserve">📊 TASK 8: PIVOT TABLE — TOTAL SALES BY REGION &amp; PRODUCT CATEGORY</t>
  </si>
  <si>
    <t xml:space="preserve">💰 TOTAL SALES ($) BY REGION &amp; PRODUCT</t>
  </si>
  <si>
    <t xml:space="preserve">Region \ Product</t>
  </si>
  <si>
    <t xml:space="preserve">Grand Total</t>
  </si>
  <si>
    <t xml:space="preserve">📈 TOTAL PROFIT ($) BY REGION &amp; PRODUCT</t>
  </si>
  <si>
    <t xml:space="preserve">📉 TASK 9: DATA VISUALIZATION — BAR, LINE &amp; PIE CHARTS</t>
  </si>
  <si>
    <t xml:space="preserve">CHART 1: Sales by Region (Bar)</t>
  </si>
  <si>
    <t xml:space="preserve">CHART 2: Sales by Product Category (Pie)</t>
  </si>
  <si>
    <t xml:space="preserve">Category</t>
  </si>
  <si>
    <t xml:space="preserve">CHART 3: Monthly Sales Trend (Line)</t>
  </si>
</sst>
</file>

<file path=xl/styles.xml><?xml version="1.0" encoding="utf-8"?>
<styleSheet xmlns="http://schemas.openxmlformats.org/spreadsheetml/2006/main">
  <numFmts count="11">
    <numFmt numFmtId="164" formatCode="General"/>
    <numFmt numFmtId="165" formatCode="#,##0"/>
    <numFmt numFmtId="166" formatCode="0.0%"/>
    <numFmt numFmtId="167" formatCode="#,##0.00"/>
    <numFmt numFmtId="168" formatCode="0%"/>
    <numFmt numFmtId="169" formatCode="yyyy\-mm\-dd"/>
    <numFmt numFmtId="170" formatCode="dd\-mmm\-yyyy\ hh:mm"/>
    <numFmt numFmtId="171" formatCode="\+#,##0.00;\-#,##0.00;\-"/>
    <numFmt numFmtId="172" formatCode="dd\-mmm\-yyyy\ hh:mm:ss"/>
    <numFmt numFmtId="173" formatCode="dd\-mmm\-yyyy"/>
    <numFmt numFmtId="174" formatCode="0"/>
  </numFmts>
  <fonts count="37">
    <font>
      <sz val="11"/>
      <color theme="1"/>
      <name val="Calibri"/>
      <family val="0"/>
      <charset val="1"/>
    </font>
    <font>
      <sz val="10"/>
      <name val="Arial"/>
      <family val="0"/>
    </font>
    <font>
      <sz val="10"/>
      <name val="Arial"/>
      <family val="0"/>
    </font>
    <font>
      <sz val="10"/>
      <name val="Arial"/>
      <family val="0"/>
    </font>
    <font>
      <b val="true"/>
      <sz val="18"/>
      <color rgb="FFFFFFFF"/>
      <name val="Arial"/>
      <family val="0"/>
      <charset val="1"/>
    </font>
    <font>
      <i val="true"/>
      <sz val="10"/>
      <color rgb="FF555555"/>
      <name val="Arial"/>
      <family val="0"/>
      <charset val="1"/>
    </font>
    <font>
      <b val="true"/>
      <sz val="10"/>
      <color rgb="FFFFFFFF"/>
      <name val="Arial"/>
      <family val="0"/>
      <charset val="1"/>
    </font>
    <font>
      <b val="true"/>
      <sz val="15"/>
      <color rgb="FF2E75B6"/>
      <name val="Arial"/>
      <family val="0"/>
      <charset val="1"/>
    </font>
    <font>
      <b val="true"/>
      <sz val="15"/>
      <color rgb="FF388E3C"/>
      <name val="Arial"/>
      <family val="0"/>
      <charset val="1"/>
    </font>
    <font>
      <b val="true"/>
      <sz val="15"/>
      <color rgb="FFF57F17"/>
      <name val="Arial"/>
      <family val="0"/>
      <charset val="1"/>
    </font>
    <font>
      <b val="true"/>
      <sz val="15"/>
      <color rgb="FF7B1FA2"/>
      <name val="Arial"/>
      <family val="0"/>
      <charset val="1"/>
    </font>
    <font>
      <b val="true"/>
      <sz val="15"/>
      <color rgb="FF0277BD"/>
      <name val="Arial"/>
      <family val="0"/>
      <charset val="1"/>
    </font>
    <font>
      <b val="true"/>
      <sz val="15"/>
      <color rgb="FFC62828"/>
      <name val="Arial"/>
      <family val="0"/>
      <charset val="1"/>
    </font>
    <font>
      <b val="true"/>
      <sz val="15"/>
      <color rgb="FF00695C"/>
      <name val="Arial"/>
      <family val="0"/>
      <charset val="1"/>
    </font>
    <font>
      <b val="true"/>
      <sz val="15"/>
      <color rgb="FFE65100"/>
      <name val="Arial"/>
      <family val="0"/>
      <charset val="1"/>
    </font>
    <font>
      <b val="true"/>
      <sz val="12"/>
      <color rgb="FFFFFFFF"/>
      <name val="Arial"/>
      <family val="0"/>
      <charset val="1"/>
    </font>
    <font>
      <b val="true"/>
      <sz val="10"/>
      <name val="Arial"/>
      <family val="0"/>
      <charset val="1"/>
    </font>
    <font>
      <sz val="10"/>
      <name val="Arial"/>
      <family val="0"/>
      <charset val="1"/>
    </font>
    <font>
      <b val="true"/>
      <sz val="10"/>
      <color rgb="FF1F3864"/>
      <name val="Arial"/>
      <family val="0"/>
      <charset val="1"/>
    </font>
    <font>
      <sz val="9"/>
      <name val="Arial"/>
      <family val="0"/>
      <charset val="1"/>
    </font>
    <font>
      <b val="true"/>
      <sz val="11"/>
      <color theme="1"/>
      <name val="Calibri"/>
      <family val="0"/>
      <charset val="1"/>
    </font>
    <font>
      <i val="true"/>
      <sz val="9"/>
      <color rgb="FF1F4E79"/>
      <name val="Arial"/>
      <family val="0"/>
      <charset val="1"/>
    </font>
    <font>
      <b val="true"/>
      <sz val="11"/>
      <color rgb="FF375623"/>
      <name val="Arial"/>
      <family val="0"/>
      <charset val="1"/>
    </font>
    <font>
      <b val="true"/>
      <sz val="11"/>
      <color rgb="FF0000FF"/>
      <name val="Arial"/>
      <family val="0"/>
      <charset val="1"/>
    </font>
    <font>
      <i val="true"/>
      <sz val="9"/>
      <color rgb="FF375623"/>
      <name val="Arial"/>
      <family val="0"/>
      <charset val="1"/>
    </font>
    <font>
      <b val="true"/>
      <sz val="11"/>
      <color rgb="FFB83C00"/>
      <name val="Arial"/>
      <family val="0"/>
      <charset val="1"/>
    </font>
    <font>
      <i val="true"/>
      <sz val="10"/>
      <color rgb="FF1F4E79"/>
      <name val="Arial"/>
      <family val="0"/>
      <charset val="1"/>
    </font>
    <font>
      <b val="true"/>
      <sz val="12"/>
      <color rgb="FF808080"/>
      <name val="Arial"/>
      <family val="0"/>
      <charset val="1"/>
    </font>
    <font>
      <b val="true"/>
      <sz val="12"/>
      <color rgb="FFC62828"/>
      <name val="Arial"/>
      <family val="0"/>
      <charset val="1"/>
    </font>
    <font>
      <i val="true"/>
      <sz val="9"/>
      <color rgb="FF4A148C"/>
      <name val="Arial"/>
      <family val="0"/>
      <charset val="1"/>
    </font>
    <font>
      <i val="true"/>
      <sz val="10"/>
      <name val="Arial"/>
      <family val="0"/>
      <charset val="1"/>
    </font>
    <font>
      <i val="true"/>
      <sz val="9"/>
      <color rgb="FF006064"/>
      <name val="Arial"/>
      <family val="0"/>
      <charset val="1"/>
    </font>
    <font>
      <b val="true"/>
      <sz val="10"/>
      <color rgb="FF1A237E"/>
      <name val="Arial"/>
      <family val="0"/>
      <charset val="1"/>
    </font>
    <font>
      <b val="true"/>
      <sz val="11"/>
      <color rgb="FF880E4F"/>
      <name val="Arial"/>
      <family val="0"/>
      <charset val="1"/>
    </font>
    <font>
      <b val="true"/>
      <sz val="18"/>
      <color rgb="FF000000"/>
      <name val="Calibri"/>
      <family val="2"/>
    </font>
    <font>
      <sz val="10"/>
      <color rgb="FF000000"/>
      <name val="Calibri"/>
      <family val="2"/>
    </font>
    <font>
      <b val="true"/>
      <sz val="10"/>
      <color rgb="FF000000"/>
      <name val="Calibri"/>
      <family val="2"/>
    </font>
  </fonts>
  <fills count="45">
    <fill>
      <patternFill patternType="none"/>
    </fill>
    <fill>
      <patternFill patternType="gray125"/>
    </fill>
    <fill>
      <patternFill patternType="solid">
        <fgColor rgb="FF1F3864"/>
        <bgColor rgb="FF264478"/>
      </patternFill>
    </fill>
    <fill>
      <patternFill patternType="solid">
        <fgColor rgb="FF3078B8"/>
        <bgColor rgb="FF3F51B5"/>
      </patternFill>
    </fill>
    <fill>
      <patternFill patternType="solid">
        <fgColor rgb="FF388E3C"/>
        <bgColor rgb="FF7B9965"/>
      </patternFill>
    </fill>
    <fill>
      <patternFill patternType="solid">
        <fgColor rgb="FFF57F17"/>
        <bgColor rgb="FFFF7043"/>
      </patternFill>
    </fill>
    <fill>
      <patternFill patternType="solid">
        <fgColor rgb="FF7B1FA2"/>
        <bgColor rgb="FF9C27B0"/>
      </patternFill>
    </fill>
    <fill>
      <patternFill patternType="solid">
        <fgColor rgb="FFF5F5F5"/>
        <bgColor rgb="FFF0F5FF"/>
      </patternFill>
    </fill>
    <fill>
      <patternFill patternType="darkGray">
        <fgColor rgb="FF018CBF"/>
        <bgColor rgb="FF3078B8"/>
      </patternFill>
    </fill>
    <fill>
      <patternFill patternType="solid">
        <fgColor rgb="FFC62828"/>
        <bgColor rgb="FFBF360D"/>
      </patternFill>
    </fill>
    <fill>
      <patternFill patternType="solid">
        <fgColor rgb="FF00695C"/>
        <bgColor rgb="FF006064"/>
      </patternFill>
    </fill>
    <fill>
      <patternFill patternType="solid">
        <fgColor rgb="FFE65100"/>
        <bgColor rgb="FFFF5722"/>
      </patternFill>
    </fill>
    <fill>
      <patternFill patternType="solid">
        <fgColor rgb="FFFFFFFF"/>
        <bgColor rgb="FFF5F5F5"/>
      </patternFill>
    </fill>
    <fill>
      <patternFill patternType="solid">
        <fgColor rgb="FFEBF5FB"/>
        <bgColor rgb="FFF0F5FF"/>
      </patternFill>
    </fill>
    <fill>
      <patternFill patternType="solid">
        <fgColor rgb="FFEAFAF1"/>
        <bgColor rgb="FFE8F5E9"/>
      </patternFill>
    </fill>
    <fill>
      <patternFill patternType="solid">
        <fgColor rgb="FFD6E4F0"/>
        <bgColor rgb="FFDDEEFF"/>
      </patternFill>
    </fill>
    <fill>
      <patternFill patternType="solid">
        <fgColor rgb="FF484848"/>
        <bgColor rgb="FF375623"/>
      </patternFill>
    </fill>
    <fill>
      <patternFill patternType="solid">
        <fgColor rgb="FF1F4E79"/>
        <bgColor rgb="FF264478"/>
      </patternFill>
    </fill>
    <fill>
      <patternFill patternType="solid">
        <fgColor rgb="FFB8860B"/>
        <bgColor rgb="FFF57F17"/>
      </patternFill>
    </fill>
    <fill>
      <patternFill patternType="solid">
        <fgColor rgb="FF375623"/>
        <bgColor rgb="FF484848"/>
      </patternFill>
    </fill>
    <fill>
      <patternFill patternType="solid">
        <fgColor rgb="FFB83C00"/>
        <bgColor rgb="FFBF360D"/>
      </patternFill>
    </fill>
    <fill>
      <patternFill patternType="solid">
        <fgColor rgb="FF4A148C"/>
        <bgColor rgb="FF7B1FA2"/>
      </patternFill>
    </fill>
    <fill>
      <patternFill patternType="solid">
        <fgColor rgb="FF006064"/>
        <bgColor rgb="FF00695C"/>
      </patternFill>
    </fill>
    <fill>
      <patternFill patternType="solid">
        <fgColor rgb="FFBF360D"/>
        <bgColor rgb="FFB83C00"/>
      </patternFill>
    </fill>
    <fill>
      <patternFill patternType="solid">
        <fgColor rgb="FF1A237E"/>
        <bgColor rgb="FF0D1B6E"/>
      </patternFill>
    </fill>
    <fill>
      <patternFill patternType="darkGray">
        <fgColor rgb="FF880932"/>
        <bgColor rgb="FF7B1FA2"/>
      </patternFill>
    </fill>
    <fill>
      <patternFill patternType="solid">
        <fgColor rgb="FFFFF2CC"/>
        <bgColor rgb="FFFFF3CC"/>
      </patternFill>
    </fill>
    <fill>
      <patternFill patternType="solid">
        <fgColor rgb="FF264478"/>
        <bgColor rgb="FF1F4E79"/>
      </patternFill>
    </fill>
    <fill>
      <patternFill patternType="solid">
        <fgColor rgb="FFF0F5FF"/>
        <bgColor rgb="FFEBF5FB"/>
      </patternFill>
    </fill>
    <fill>
      <patternFill patternType="solid">
        <fgColor rgb="FFFFF3CC"/>
        <bgColor rgb="FFFFF2CC"/>
      </patternFill>
    </fill>
    <fill>
      <patternFill patternType="solid">
        <fgColor rgb="FFE8E8E8"/>
        <bgColor rgb="FFEDE7F6"/>
      </patternFill>
    </fill>
    <fill>
      <patternFill patternType="solid">
        <fgColor rgb="FFFDEBD0"/>
        <bgColor rgb="FFFFF2CC"/>
      </patternFill>
    </fill>
    <fill>
      <patternFill patternType="solid">
        <fgColor rgb="FFE2EFDA"/>
        <bgColor rgb="FFE8F5E9"/>
      </patternFill>
    </fill>
    <fill>
      <patternFill patternType="solid">
        <fgColor rgb="FFFFF0EB"/>
        <bgColor rgb="FFF5F5F5"/>
      </patternFill>
    </fill>
    <fill>
      <patternFill patternType="solid">
        <fgColor rgb="FFE7F0F8"/>
        <bgColor rgb="FFEBF5FB"/>
      </patternFill>
    </fill>
    <fill>
      <patternFill patternType="solid">
        <fgColor rgb="FFEDE7F6"/>
        <bgColor rgb="FFF3E5F5"/>
      </patternFill>
    </fill>
    <fill>
      <patternFill patternType="solid">
        <fgColor rgb="FFE0F7FA"/>
        <bgColor rgb="FFEBF5FB"/>
      </patternFill>
    </fill>
    <fill>
      <patternFill patternType="solid">
        <fgColor rgb="FFFFD7D7"/>
        <bgColor rgb="FFFFCCCC"/>
      </patternFill>
    </fill>
    <fill>
      <patternFill patternType="solid">
        <fgColor rgb="FFFFFACD"/>
        <bgColor rgb="FFFFF3CC"/>
      </patternFill>
    </fill>
    <fill>
      <patternFill patternType="solid">
        <fgColor rgb="FFE8F5E9"/>
        <bgColor rgb="FFEAFAF1"/>
      </patternFill>
    </fill>
    <fill>
      <patternFill patternType="solid">
        <fgColor rgb="FFBDD7EE"/>
        <bgColor rgb="FFD6E4F0"/>
      </patternFill>
    </fill>
    <fill>
      <patternFill patternType="solid">
        <fgColor rgb="FF0D1B6E"/>
        <bgColor rgb="FF1A237E"/>
      </patternFill>
    </fill>
    <fill>
      <patternFill patternType="solid">
        <fgColor rgb="FFDDEEFF"/>
        <bgColor rgb="FFE7F0F8"/>
      </patternFill>
    </fill>
    <fill>
      <patternFill patternType="solid">
        <fgColor rgb="FFFFE4CC"/>
        <bgColor rgb="FFFDEBD0"/>
      </patternFill>
    </fill>
    <fill>
      <patternFill patternType="solid">
        <fgColor rgb="FFF3E5F5"/>
        <bgColor rgb="FFEDE7F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center"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5" fontId="17" fillId="12" borderId="1" xfId="0" applyFont="true" applyBorder="true" applyAlignment="true" applyProtection="false">
      <alignment horizontal="center" vertical="center" textRotation="0" wrapText="fals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6" fontId="17" fillId="12" borderId="1" xfId="0" applyFont="true" applyBorder="true" applyAlignment="true" applyProtection="false">
      <alignment horizontal="center" vertical="center" textRotation="0" wrapText="false" indent="0" shrinkToFit="false"/>
      <protection locked="true" hidden="false"/>
    </xf>
    <xf numFmtId="164" fontId="16" fillId="13" borderId="1" xfId="0" applyFont="true" applyBorder="true" applyAlignment="true" applyProtection="false">
      <alignment horizontal="center" vertical="center" textRotation="0" wrapText="false" indent="0" shrinkToFit="false"/>
      <protection locked="true" hidden="false"/>
    </xf>
    <xf numFmtId="165" fontId="17" fillId="13" borderId="1" xfId="0" applyFont="true" applyBorder="true" applyAlignment="true" applyProtection="false">
      <alignment horizontal="center" vertical="center" textRotation="0" wrapText="false" indent="0" shrinkToFit="false"/>
      <protection locked="true" hidden="false"/>
    </xf>
    <xf numFmtId="164" fontId="17" fillId="13" borderId="1" xfId="0" applyFont="true" applyBorder="true" applyAlignment="true" applyProtection="false">
      <alignment horizontal="center" vertical="center" textRotation="0" wrapText="false" indent="0" shrinkToFit="false"/>
      <protection locked="true" hidden="false"/>
    </xf>
    <xf numFmtId="166" fontId="17" fillId="13" borderId="1" xfId="0" applyFont="true" applyBorder="true" applyAlignment="true" applyProtection="false">
      <alignment horizontal="center" vertical="center" textRotation="0" wrapText="false" indent="0" shrinkToFit="false"/>
      <protection locked="true" hidden="false"/>
    </xf>
    <xf numFmtId="164" fontId="16" fillId="14" borderId="1" xfId="0" applyFont="true" applyBorder="true" applyAlignment="true" applyProtection="false">
      <alignment horizontal="center" vertical="center" textRotation="0" wrapText="false" indent="0" shrinkToFit="false"/>
      <protection locked="true" hidden="false"/>
    </xf>
    <xf numFmtId="165" fontId="17" fillId="14" borderId="1" xfId="0" applyFont="true" applyBorder="true" applyAlignment="true" applyProtection="false">
      <alignment horizontal="center" vertical="center" textRotation="0" wrapText="false" indent="0" shrinkToFit="false"/>
      <protection locked="true" hidden="false"/>
    </xf>
    <xf numFmtId="164" fontId="17" fillId="14" borderId="1" xfId="0" applyFont="true" applyBorder="true" applyAlignment="true" applyProtection="false">
      <alignment horizontal="center" vertical="center" textRotation="0" wrapText="false" indent="0" shrinkToFit="false"/>
      <protection locked="true" hidden="false"/>
    </xf>
    <xf numFmtId="166" fontId="17" fillId="14"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18" fillId="13" borderId="1" xfId="0" applyFont="true" applyBorder="true" applyAlignment="true" applyProtection="false">
      <alignment horizontal="left" vertical="center" textRotation="0" wrapText="false" indent="0" shrinkToFit="false"/>
      <protection locked="true" hidden="false"/>
    </xf>
    <xf numFmtId="164" fontId="17" fillId="13" borderId="1" xfId="0" applyFont="true" applyBorder="true" applyAlignment="true" applyProtection="false">
      <alignment horizontal="left" vertical="center" textRotation="0" wrapText="true" indent="0" shrinkToFit="false"/>
      <protection locked="true" hidden="false"/>
    </xf>
    <xf numFmtId="164" fontId="18" fillId="15" borderId="1" xfId="0" applyFont="true" applyBorder="true" applyAlignment="true" applyProtection="false">
      <alignment horizontal="left" vertical="center" textRotation="0" wrapText="false" indent="0" shrinkToFit="false"/>
      <protection locked="true" hidden="false"/>
    </xf>
    <xf numFmtId="164" fontId="17" fillId="15" borderId="1" xfId="0" applyFont="true" applyBorder="true" applyAlignment="true" applyProtection="false">
      <alignment horizontal="left" vertical="center" textRotation="0" wrapText="true" indent="0" shrinkToFit="false"/>
      <protection locked="true" hidden="false"/>
    </xf>
    <xf numFmtId="164" fontId="15" fillId="16" borderId="1" xfId="0" applyFont="true" applyBorder="true" applyAlignment="true" applyProtection="false">
      <alignment horizontal="center" vertical="center"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6" fillId="18" borderId="1" xfId="0" applyFont="true" applyBorder="true" applyAlignment="true" applyProtection="false">
      <alignment horizontal="center" vertical="center" textRotation="0" wrapText="false" indent="0" shrinkToFit="false"/>
      <protection locked="true" hidden="false"/>
    </xf>
    <xf numFmtId="164" fontId="6" fillId="19" borderId="1" xfId="0" applyFont="true" applyBorder="true" applyAlignment="true" applyProtection="false">
      <alignment horizontal="center" vertical="center" textRotation="0" wrapText="false" indent="0" shrinkToFit="false"/>
      <protection locked="true" hidden="false"/>
    </xf>
    <xf numFmtId="164" fontId="6" fillId="20" borderId="1" xfId="0" applyFont="true" applyBorder="true" applyAlignment="true" applyProtection="false">
      <alignment horizontal="center" vertical="center" textRotation="0" wrapText="false" indent="0" shrinkToFit="false"/>
      <protection locked="true" hidden="false"/>
    </xf>
    <xf numFmtId="164" fontId="6" fillId="21"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6" fillId="22" borderId="1" xfId="0" applyFont="true" applyBorder="true" applyAlignment="true" applyProtection="false">
      <alignment horizontal="center" vertical="center" textRotation="0" wrapText="false" indent="0" shrinkToFit="false"/>
      <protection locked="true" hidden="false"/>
    </xf>
    <xf numFmtId="164" fontId="6" fillId="23" borderId="1" xfId="0" applyFont="true" applyBorder="true" applyAlignment="true" applyProtection="false">
      <alignment horizontal="center" vertical="center" textRotation="0" wrapText="false" indent="0" shrinkToFit="false"/>
      <protection locked="true" hidden="false"/>
    </xf>
    <xf numFmtId="164" fontId="6" fillId="24" borderId="1" xfId="0" applyFont="true" applyBorder="true" applyAlignment="true" applyProtection="false">
      <alignment horizontal="center" vertical="center" textRotation="0" wrapText="false" indent="0" shrinkToFit="false"/>
      <protection locked="true" hidden="false"/>
    </xf>
    <xf numFmtId="164" fontId="6" fillId="25" borderId="1" xfId="0" applyFont="true" applyBorder="true" applyAlignment="true" applyProtection="false">
      <alignment horizontal="center" vertical="center" textRotation="0" wrapText="false" indent="0" shrinkToFit="false"/>
      <protection locked="true" hidden="false"/>
    </xf>
    <xf numFmtId="164" fontId="20" fillId="26"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6" fillId="27" borderId="1"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7" fillId="28" borderId="1" xfId="0" applyFont="true" applyBorder="true" applyAlignment="true" applyProtection="false">
      <alignment horizontal="center" vertical="center" textRotation="0" wrapText="false" indent="0" shrinkToFit="false"/>
      <protection locked="true" hidden="false"/>
    </xf>
    <xf numFmtId="167" fontId="17" fillId="28" borderId="1" xfId="0" applyFont="true" applyBorder="true" applyAlignment="true" applyProtection="false">
      <alignment horizontal="center" vertical="center" textRotation="0" wrapText="false" indent="0" shrinkToFit="false"/>
      <protection locked="true" hidden="false"/>
    </xf>
    <xf numFmtId="168" fontId="17" fillId="28" borderId="1" xfId="0" applyFont="true" applyBorder="true" applyAlignment="true" applyProtection="false">
      <alignment horizontal="center" vertical="center" textRotation="0" wrapText="false" indent="0" shrinkToFit="false"/>
      <protection locked="true" hidden="false"/>
    </xf>
    <xf numFmtId="169" fontId="17" fillId="28" borderId="1" xfId="0" applyFont="true" applyBorder="true" applyAlignment="true" applyProtection="false">
      <alignment horizontal="center" vertical="center" textRotation="0" wrapText="false" indent="0" shrinkToFit="false"/>
      <protection locked="true" hidden="false"/>
    </xf>
    <xf numFmtId="170" fontId="17" fillId="12" borderId="1" xfId="0" applyFont="true" applyBorder="true" applyAlignment="true" applyProtection="false">
      <alignment horizontal="center" vertical="center" textRotation="0" wrapText="false" indent="0" shrinkToFit="false"/>
      <protection locked="true" hidden="false"/>
    </xf>
    <xf numFmtId="167" fontId="17" fillId="12" borderId="1" xfId="0" applyFont="true" applyBorder="true" applyAlignment="true" applyProtection="false">
      <alignment horizontal="center" vertical="center" textRotation="0" wrapText="false" indent="0" shrinkToFit="false"/>
      <protection locked="true" hidden="false"/>
    </xf>
    <xf numFmtId="168" fontId="17" fillId="12" borderId="1" xfId="0" applyFont="true" applyBorder="true" applyAlignment="true" applyProtection="false">
      <alignment horizontal="center" vertical="center" textRotation="0" wrapText="false" indent="0" shrinkToFit="false"/>
      <protection locked="true" hidden="false"/>
    </xf>
    <xf numFmtId="169" fontId="17" fillId="12" borderId="1" xfId="0" applyFont="true" applyBorder="true" applyAlignment="true" applyProtection="false">
      <alignment horizontal="center" vertical="center" textRotation="0" wrapText="false" indent="0" shrinkToFit="false"/>
      <protection locked="true" hidden="false"/>
    </xf>
    <xf numFmtId="164" fontId="15" fillId="17" borderId="1" xfId="0" applyFont="true" applyBorder="true" applyAlignment="true" applyProtection="false">
      <alignment horizontal="center" vertical="center" textRotation="0" wrapText="false" indent="0" shrinkToFit="false"/>
      <protection locked="true" hidden="false"/>
    </xf>
    <xf numFmtId="164" fontId="16" fillId="29" borderId="1" xfId="0" applyFont="true" applyBorder="true" applyAlignment="true" applyProtection="false">
      <alignment horizontal="center" vertical="center" textRotation="0" wrapText="false" indent="0" shrinkToFit="false"/>
      <protection locked="true" hidden="false"/>
    </xf>
    <xf numFmtId="164" fontId="17" fillId="29" borderId="1" xfId="0" applyFont="true" applyBorder="true" applyAlignment="true" applyProtection="false">
      <alignment horizontal="center" vertical="center" textRotation="0" wrapText="false" indent="0" shrinkToFit="false"/>
      <protection locked="true" hidden="false"/>
    </xf>
    <xf numFmtId="167" fontId="17" fillId="29" borderId="1" xfId="0" applyFont="true" applyBorder="true" applyAlignment="true" applyProtection="false">
      <alignment horizontal="center" vertical="center" textRotation="0" wrapText="false" indent="0" shrinkToFit="false"/>
      <protection locked="true" hidden="false"/>
    </xf>
    <xf numFmtId="164" fontId="16" fillId="30" borderId="1" xfId="0" applyFont="true" applyBorder="true" applyAlignment="true" applyProtection="false">
      <alignment horizontal="center" vertical="center" textRotation="0" wrapText="false" indent="0" shrinkToFit="false"/>
      <protection locked="true" hidden="false"/>
    </xf>
    <xf numFmtId="164" fontId="17" fillId="30" borderId="1" xfId="0" applyFont="true" applyBorder="true" applyAlignment="true" applyProtection="false">
      <alignment horizontal="center" vertical="center" textRotation="0" wrapText="false" indent="0" shrinkToFit="false"/>
      <protection locked="true" hidden="false"/>
    </xf>
    <xf numFmtId="167" fontId="17" fillId="30" borderId="1" xfId="0" applyFont="true" applyBorder="true" applyAlignment="true" applyProtection="false">
      <alignment horizontal="center" vertical="center" textRotation="0" wrapText="false" indent="0" shrinkToFit="false"/>
      <protection locked="true" hidden="false"/>
    </xf>
    <xf numFmtId="164" fontId="16" fillId="31" borderId="1" xfId="0" applyFont="true" applyBorder="true" applyAlignment="true" applyProtection="false">
      <alignment horizontal="center" vertical="center" textRotation="0" wrapText="false" indent="0" shrinkToFit="false"/>
      <protection locked="true" hidden="false"/>
    </xf>
    <xf numFmtId="164" fontId="17" fillId="31" borderId="1" xfId="0" applyFont="true" applyBorder="true" applyAlignment="true" applyProtection="false">
      <alignment horizontal="center" vertical="center" textRotation="0" wrapText="false" indent="0" shrinkToFit="false"/>
      <protection locked="true" hidden="false"/>
    </xf>
    <xf numFmtId="167" fontId="17" fillId="31"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15" fillId="19"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7" fontId="23" fillId="26" borderId="1" xfId="0" applyFont="true" applyBorder="true" applyAlignment="true" applyProtection="false">
      <alignment horizontal="center" vertical="bottom" textRotation="0" wrapText="false" indent="0" shrinkToFit="false"/>
      <protection locked="true" hidden="false"/>
    </xf>
    <xf numFmtId="168" fontId="23" fillId="26" borderId="1" xfId="0" applyFont="true" applyBorder="true" applyAlignment="true" applyProtection="false">
      <alignment horizontal="center" vertical="bottom" textRotation="0" wrapText="fals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8" fontId="17" fillId="32" borderId="1" xfId="0" applyFont="true" applyBorder="true" applyAlignment="true" applyProtection="false">
      <alignment horizontal="center" vertical="center" textRotation="0" wrapText="false" indent="0" shrinkToFit="false"/>
      <protection locked="true" hidden="false"/>
    </xf>
    <xf numFmtId="167" fontId="17" fillId="32" borderId="1" xfId="0" applyFont="true" applyBorder="true" applyAlignment="true" applyProtection="false">
      <alignment horizontal="center" vertical="center" textRotation="0" wrapText="false" indent="0" shrinkToFit="false"/>
      <protection locked="true" hidden="false"/>
    </xf>
    <xf numFmtId="166" fontId="17" fillId="32"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bottom" textRotation="0" wrapText="true" indent="0" shrinkToFit="false"/>
      <protection locked="true" hidden="false"/>
    </xf>
    <xf numFmtId="164" fontId="15" fillId="20"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17" fillId="33"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4" fontId="16" fillId="12" borderId="0" xfId="0" applyFont="true" applyBorder="false" applyAlignment="true" applyProtection="false">
      <alignment horizontal="left" vertical="bottom" textRotation="0" wrapText="false" indent="0" shrinkToFit="false"/>
      <protection locked="true" hidden="false"/>
    </xf>
    <xf numFmtId="164" fontId="16" fillId="34" borderId="0" xfId="0" applyFont="true" applyBorder="false" applyAlignment="true" applyProtection="false">
      <alignment horizontal="left" vertical="bottom" textRotation="0" wrapText="false" indent="0" shrinkToFit="false"/>
      <protection locked="true" hidden="false"/>
    </xf>
    <xf numFmtId="167" fontId="17" fillId="34" borderId="1" xfId="0" applyFont="true" applyBorder="true" applyAlignment="true" applyProtection="false">
      <alignment horizontal="center" vertical="center" textRotation="0" wrapText="false" indent="0" shrinkToFit="false"/>
      <protection locked="true" hidden="false"/>
    </xf>
    <xf numFmtId="164" fontId="17" fillId="34" borderId="1" xfId="0" applyFont="true" applyBorder="true" applyAlignment="true" applyProtection="false">
      <alignment horizontal="center" vertical="center" textRotation="0" wrapText="false" indent="0" shrinkToFit="false"/>
      <protection locked="true" hidden="false"/>
    </xf>
    <xf numFmtId="166" fontId="17" fillId="34" borderId="1" xfId="0" applyFont="true" applyBorder="true" applyAlignment="true" applyProtection="false">
      <alignment horizontal="center" vertical="center" textRotation="0" wrapText="false" indent="0" shrinkToFit="false"/>
      <protection locked="true" hidden="false"/>
    </xf>
    <xf numFmtId="164" fontId="15" fillId="21" borderId="1" xfId="0" applyFont="true" applyBorder="true" applyAlignment="true" applyProtection="false">
      <alignment horizontal="center" vertical="center" textRotation="0" wrapText="fals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27" fillId="12" borderId="1" xfId="0" applyFont="true" applyBorder="true" applyAlignment="true" applyProtection="false">
      <alignment horizontal="center" vertical="center" textRotation="0" wrapText="false" indent="0" shrinkToFit="false"/>
      <protection locked="true" hidden="false"/>
    </xf>
    <xf numFmtId="164" fontId="17" fillId="35" borderId="1" xfId="0" applyFont="true" applyBorder="true" applyAlignment="true" applyProtection="false">
      <alignment horizontal="center" vertical="center" textRotation="0" wrapText="false" indent="0" shrinkToFit="false"/>
      <protection locked="true" hidden="false"/>
    </xf>
    <xf numFmtId="167" fontId="17" fillId="35" borderId="1" xfId="0" applyFont="true" applyBorder="true" applyAlignment="true" applyProtection="false">
      <alignment horizontal="center" vertical="center" textRotation="0" wrapText="false" indent="0" shrinkToFit="false"/>
      <protection locked="true" hidden="false"/>
    </xf>
    <xf numFmtId="171" fontId="17" fillId="35" borderId="1" xfId="0" applyFont="true" applyBorder="true" applyAlignment="true" applyProtection="false">
      <alignment horizontal="center" vertical="center" textRotation="0" wrapText="false" indent="0" shrinkToFit="false"/>
      <protection locked="true" hidden="false"/>
    </xf>
    <xf numFmtId="166" fontId="17" fillId="35" borderId="1" xfId="0" applyFont="true" applyBorder="true" applyAlignment="true" applyProtection="false">
      <alignment horizontal="center" vertical="center" textRotation="0" wrapText="false" indent="0" shrinkToFit="false"/>
      <protection locked="true" hidden="false"/>
    </xf>
    <xf numFmtId="164" fontId="28" fillId="35" borderId="1" xfId="0" applyFont="true" applyBorder="true" applyAlignment="true" applyProtection="false">
      <alignment horizontal="center" vertical="center" textRotation="0" wrapText="false" indent="0" shrinkToFit="false"/>
      <protection locked="true" hidden="false"/>
    </xf>
    <xf numFmtId="171" fontId="17" fillId="12" borderId="1" xfId="0" applyFont="true" applyBorder="true" applyAlignment="true" applyProtection="false">
      <alignment horizontal="center" vertical="center" textRotation="0" wrapText="false" indent="0" shrinkToFit="false"/>
      <protection locked="true" hidden="false"/>
    </xf>
    <xf numFmtId="164" fontId="28" fillId="12" borderId="1"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15" fillId="22" borderId="1"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6" fillId="22" borderId="1" xfId="0" applyFont="true" applyBorder="true" applyAlignment="true" applyProtection="false">
      <alignment horizontal="center" vertical="center" textRotation="0" wrapText="true" indent="0" shrinkToFit="false"/>
      <protection locked="true" hidden="false"/>
    </xf>
    <xf numFmtId="172" fontId="17" fillId="12" borderId="1" xfId="0" applyFont="true" applyBorder="true" applyAlignment="true" applyProtection="false">
      <alignment horizontal="center" vertical="center" textRotation="0" wrapText="false" indent="0" shrinkToFit="false"/>
      <protection locked="true" hidden="false"/>
    </xf>
    <xf numFmtId="173" fontId="17" fillId="12" borderId="1" xfId="0" applyFont="true" applyBorder="true" applyAlignment="true" applyProtection="false">
      <alignment horizontal="center" vertical="center" textRotation="0" wrapText="false" indent="0" shrinkToFit="false"/>
      <protection locked="true" hidden="false"/>
    </xf>
    <xf numFmtId="164" fontId="17" fillId="36" borderId="1" xfId="0" applyFont="true" applyBorder="true" applyAlignment="true" applyProtection="false">
      <alignment horizontal="center" vertical="center" textRotation="0" wrapText="false" indent="0" shrinkToFit="false"/>
      <protection locked="true" hidden="false"/>
    </xf>
    <xf numFmtId="172" fontId="17" fillId="36" borderId="1" xfId="0" applyFont="true" applyBorder="true" applyAlignment="true" applyProtection="false">
      <alignment horizontal="center" vertical="center" textRotation="0" wrapText="false" indent="0" shrinkToFit="false"/>
      <protection locked="true" hidden="false"/>
    </xf>
    <xf numFmtId="173" fontId="17" fillId="36"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true" applyAlignment="false" applyProtection="false">
      <alignment horizontal="general" vertical="bottom" textRotation="0" wrapText="false" indent="0" shrinkToFit="false"/>
      <protection locked="true" hidden="false"/>
    </xf>
    <xf numFmtId="164" fontId="15" fillId="23" borderId="1" xfId="0" applyFont="true" applyBorder="true" applyAlignment="true" applyProtection="false">
      <alignment horizontal="center" vertical="center" textRotation="0" wrapText="false" indent="0" shrinkToFit="false"/>
      <protection locked="true" hidden="false"/>
    </xf>
    <xf numFmtId="164" fontId="6" fillId="23" borderId="1" xfId="0" applyFont="true" applyBorder="true" applyAlignment="true" applyProtection="false">
      <alignment horizontal="center" vertical="center" textRotation="0" wrapText="true" indent="0" shrinkToFit="false"/>
      <protection locked="true" hidden="false"/>
    </xf>
    <xf numFmtId="164" fontId="17" fillId="37" borderId="1" xfId="0" applyFont="true" applyBorder="true" applyAlignment="true" applyProtection="false">
      <alignment horizontal="center" vertical="center" textRotation="0" wrapText="false" indent="0" shrinkToFit="false"/>
      <protection locked="true" hidden="false"/>
    </xf>
    <xf numFmtId="167" fontId="17" fillId="37" borderId="1" xfId="0" applyFont="true" applyBorder="true" applyAlignment="true" applyProtection="false">
      <alignment horizontal="center" vertical="center" textRotation="0" wrapText="false" indent="0" shrinkToFit="false"/>
      <protection locked="true" hidden="false"/>
    </xf>
    <xf numFmtId="168" fontId="17" fillId="37" borderId="1" xfId="0" applyFont="true" applyBorder="true" applyAlignment="true" applyProtection="false">
      <alignment horizontal="center" vertical="center" textRotation="0" wrapText="false" indent="0" shrinkToFit="false"/>
      <protection locked="true" hidden="false"/>
    </xf>
    <xf numFmtId="164" fontId="16" fillId="37" borderId="1" xfId="0" applyFont="true" applyBorder="true" applyAlignment="true" applyProtection="false">
      <alignment horizontal="center" vertical="center" textRotation="0" wrapText="false" indent="0" shrinkToFit="false"/>
      <protection locked="true" hidden="false"/>
    </xf>
    <xf numFmtId="164" fontId="17" fillId="38" borderId="1" xfId="0" applyFont="true" applyBorder="true" applyAlignment="true" applyProtection="false">
      <alignment horizontal="center" vertical="center" textRotation="0" wrapText="false" indent="0" shrinkToFit="false"/>
      <protection locked="true" hidden="false"/>
    </xf>
    <xf numFmtId="167" fontId="17" fillId="38" borderId="1" xfId="0" applyFont="true" applyBorder="true" applyAlignment="true" applyProtection="false">
      <alignment horizontal="center" vertical="center" textRotation="0" wrapText="false" indent="0" shrinkToFit="false"/>
      <protection locked="true" hidden="false"/>
    </xf>
    <xf numFmtId="168" fontId="17" fillId="38" borderId="1" xfId="0" applyFont="true" applyBorder="true" applyAlignment="true" applyProtection="false">
      <alignment horizontal="center" vertical="center" textRotation="0" wrapText="false" indent="0" shrinkToFit="false"/>
      <protection locked="true" hidden="false"/>
    </xf>
    <xf numFmtId="164" fontId="17" fillId="39" borderId="1" xfId="0" applyFont="true" applyBorder="true" applyAlignment="true" applyProtection="false">
      <alignment horizontal="center" vertical="center" textRotation="0" wrapText="false" indent="0" shrinkToFit="false"/>
      <protection locked="true" hidden="false"/>
    </xf>
    <xf numFmtId="167" fontId="17" fillId="39" borderId="1" xfId="0" applyFont="true" applyBorder="true" applyAlignment="true" applyProtection="false">
      <alignment horizontal="center" vertical="center" textRotation="0" wrapText="false" indent="0" shrinkToFit="false"/>
      <protection locked="true" hidden="false"/>
    </xf>
    <xf numFmtId="168" fontId="17" fillId="39" borderId="1" xfId="0" applyFont="true" applyBorder="true" applyAlignment="true" applyProtection="false">
      <alignment horizontal="center" vertical="center" textRotation="0" wrapText="false" indent="0" shrinkToFit="false"/>
      <protection locked="true" hidden="false"/>
    </xf>
    <xf numFmtId="164" fontId="23" fillId="26" borderId="1" xfId="0" applyFont="true" applyBorder="true" applyAlignment="false" applyProtection="false">
      <alignment horizontal="general" vertical="bottom" textRotation="0" wrapText="false" indent="0" shrinkToFit="false"/>
      <protection locked="true" hidden="false"/>
    </xf>
    <xf numFmtId="167" fontId="17" fillId="39" borderId="1" xfId="0" applyFont="true" applyBorder="true" applyAlignment="true" applyProtection="false">
      <alignment horizontal="center" vertical="bottom" textRotation="0" wrapText="false" indent="0" shrinkToFit="false"/>
      <protection locked="true" hidden="false"/>
    </xf>
    <xf numFmtId="174" fontId="17" fillId="39" borderId="1" xfId="0" applyFont="true" applyBorder="true" applyAlignment="true" applyProtection="false">
      <alignment horizontal="center" vertical="bottom" textRotation="0" wrapText="false" indent="0" shrinkToFit="false"/>
      <protection locked="true" hidden="false"/>
    </xf>
    <xf numFmtId="164" fontId="17" fillId="39" borderId="1" xfId="0" applyFont="true" applyBorder="true" applyAlignment="true" applyProtection="false">
      <alignment horizontal="center" vertical="bottom" textRotation="0" wrapText="false" indent="0" shrinkToFit="false"/>
      <protection locked="true" hidden="false"/>
    </xf>
    <xf numFmtId="164" fontId="15" fillId="24" borderId="1" xfId="0" applyFont="true" applyBorder="true" applyAlignment="true" applyProtection="false">
      <alignment horizontal="center" vertical="center" textRotation="0" wrapText="false" indent="0" shrinkToFit="false"/>
      <protection locked="true" hidden="false"/>
    </xf>
    <xf numFmtId="164" fontId="32" fillId="40" borderId="1" xfId="0" applyFont="true" applyBorder="true" applyAlignment="true" applyProtection="false">
      <alignment horizontal="center" vertical="center" textRotation="0" wrapText="true" indent="0" shrinkToFit="false"/>
      <protection locked="true" hidden="false"/>
    </xf>
    <xf numFmtId="164" fontId="6" fillId="24" borderId="1" xfId="0" applyFont="true" applyBorder="true" applyAlignment="true" applyProtection="false">
      <alignment horizontal="center" vertical="center" textRotation="0" wrapText="true" indent="0" shrinkToFit="false"/>
      <protection locked="true" hidden="false"/>
    </xf>
    <xf numFmtId="164" fontId="6" fillId="41" borderId="1" xfId="0" applyFont="true" applyBorder="true" applyAlignment="true" applyProtection="false">
      <alignment horizontal="center" vertical="center" textRotation="0" wrapText="true" indent="0" shrinkToFit="false"/>
      <protection locked="true" hidden="false"/>
    </xf>
    <xf numFmtId="164" fontId="16" fillId="42" borderId="1" xfId="0" applyFont="true" applyBorder="true" applyAlignment="true" applyProtection="false">
      <alignment horizontal="center" vertical="center" textRotation="0" wrapText="false" indent="0" shrinkToFit="false"/>
      <protection locked="true" hidden="false"/>
    </xf>
    <xf numFmtId="167" fontId="17" fillId="42" borderId="1" xfId="0" applyFont="true" applyBorder="true" applyAlignment="true" applyProtection="false">
      <alignment horizontal="center" vertical="center" textRotation="0" wrapText="false" indent="0" shrinkToFit="false"/>
      <protection locked="true" hidden="false"/>
    </xf>
    <xf numFmtId="167" fontId="16" fillId="40" borderId="1" xfId="0" applyFont="true" applyBorder="true" applyAlignment="true" applyProtection="false">
      <alignment horizontal="center" vertical="center" textRotation="0" wrapText="false" indent="0" shrinkToFit="false"/>
      <protection locked="true" hidden="false"/>
    </xf>
    <xf numFmtId="164" fontId="16" fillId="43" borderId="1" xfId="0" applyFont="true" applyBorder="true" applyAlignment="true" applyProtection="false">
      <alignment horizontal="center" vertical="center" textRotation="0" wrapText="false" indent="0" shrinkToFit="false"/>
      <protection locked="true" hidden="false"/>
    </xf>
    <xf numFmtId="167" fontId="17" fillId="43" borderId="1" xfId="0" applyFont="true" applyBorder="true" applyAlignment="true" applyProtection="false">
      <alignment horizontal="center" vertical="center" textRotation="0" wrapText="false" indent="0" shrinkToFit="false"/>
      <protection locked="true" hidden="false"/>
    </xf>
    <xf numFmtId="164" fontId="16" fillId="39" borderId="1" xfId="0" applyFont="true" applyBorder="true" applyAlignment="true" applyProtection="false">
      <alignment horizontal="center" vertical="center" textRotation="0" wrapText="false" indent="0" shrinkToFit="false"/>
      <protection locked="true" hidden="false"/>
    </xf>
    <xf numFmtId="164" fontId="16" fillId="44" borderId="1" xfId="0" applyFont="true" applyBorder="true" applyAlignment="true" applyProtection="false">
      <alignment horizontal="center" vertical="center" textRotation="0" wrapText="false" indent="0" shrinkToFit="false"/>
      <protection locked="true" hidden="false"/>
    </xf>
    <xf numFmtId="167" fontId="17" fillId="44" borderId="1" xfId="0" applyFont="true" applyBorder="true" applyAlignment="true" applyProtection="false">
      <alignment horizontal="center" vertical="center" textRotation="0" wrapText="false" indent="0" shrinkToFit="false"/>
      <protection locked="true" hidden="false"/>
    </xf>
    <xf numFmtId="167" fontId="6" fillId="24" borderId="1" xfId="0" applyFont="true" applyBorder="true" applyAlignment="true" applyProtection="false">
      <alignment horizontal="center" vertical="center" textRotation="0" wrapText="false" indent="0" shrinkToFit="false"/>
      <protection locked="true" hidden="false"/>
    </xf>
    <xf numFmtId="167" fontId="6" fillId="41" borderId="1" xfId="0" applyFont="true" applyBorder="true" applyAlignment="true" applyProtection="false">
      <alignment horizontal="center" vertical="center" textRotation="0" wrapText="false" indent="0" shrinkToFit="false"/>
      <protection locked="true" hidden="false"/>
    </xf>
    <xf numFmtId="164" fontId="15" fillId="25" borderId="1"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6" fillId="2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8B0000"/>
      </font>
      <fill>
        <patternFill>
          <bgColor rgb="FFFFD700"/>
        </patternFill>
      </fill>
    </dxf>
    <dxf>
      <fill>
        <patternFill>
          <bgColor rgb="FFFFCCCC"/>
        </patternFill>
      </fill>
    </dxf>
    <dxf>
      <fill>
        <patternFill>
          <bgColor rgb="FFC6EFCE"/>
        </patternFill>
      </fill>
    </dxf>
  </dxfs>
  <colors>
    <indexedColors>
      <rgbColor rgb="FF000000"/>
      <rgbColor rgb="FFFFFFFF"/>
      <rgbColor rgb="FFE91E63"/>
      <rgbColor rgb="FFEBF5FB"/>
      <rgbColor rgb="FF0000FF"/>
      <rgbColor rgb="FFFFF2CC"/>
      <rgbColor rgb="FFFFF0EB"/>
      <rgbColor rgb="FFE8F5E9"/>
      <rgbColor rgb="FF880932"/>
      <rgbColor rgb="FFFFE4CC"/>
      <rgbColor rgb="FF0D1B6E"/>
      <rgbColor rgb="FFB8860B"/>
      <rgbColor rgb="FF7B1FA2"/>
      <rgbColor rgb="FF00695C"/>
      <rgbColor rgb="FFBFBFBF"/>
      <rgbColor rgb="FF7B9965"/>
      <rgbColor rgb="FFE8E8E8"/>
      <rgbColor rgb="FF9C27B0"/>
      <rgbColor rgb="FFFFFACD"/>
      <rgbColor rgb="FFE0F7FA"/>
      <rgbColor rgb="FF4A148C"/>
      <rgbColor rgb="FFFF7043"/>
      <rgbColor rgb="FF006064"/>
      <rgbColor rgb="FFBDD7EE"/>
      <rgbColor rgb="FF1A237E"/>
      <rgbColor rgb="FFF5F5F5"/>
      <rgbColor rgb="FFFDEBD0"/>
      <rgbColor rgb="FFEAFAF1"/>
      <rgbColor rgb="FFE65100"/>
      <rgbColor rgb="FFBF360D"/>
      <rgbColor rgb="FF018CBF"/>
      <rgbColor rgb="FFF0F5FF"/>
      <rgbColor rgb="FFEDE7F6"/>
      <rgbColor rgb="FFDDEEFF"/>
      <rgbColor rgb="FFC6EFCE"/>
      <rgbColor rgb="FFFFF3CC"/>
      <rgbColor rgb="FFD6E4F0"/>
      <rgbColor rgb="FFFFD7D7"/>
      <rgbColor rgb="FFF3E5F5"/>
      <rgbColor rgb="FFFFCCCC"/>
      <rgbColor rgb="FF3078B8"/>
      <rgbColor rgb="FFE7F0F8"/>
      <rgbColor rgb="FFE2EFDA"/>
      <rgbColor rgb="FFFFD700"/>
      <rgbColor rgb="FFFF9800"/>
      <rgbColor rgb="FFFF5722"/>
      <rgbColor rgb="FF3F51B5"/>
      <rgbColor rgb="FFF57F17"/>
      <rgbColor rgb="FF1F3864"/>
      <rgbColor rgb="FF388E3C"/>
      <rgbColor rgb="FF1F4E79"/>
      <rgbColor rgb="FF375623"/>
      <rgbColor rgb="FFB83C00"/>
      <rgbColor rgb="FFC62828"/>
      <rgbColor rgb="FF264478"/>
      <rgbColor rgb="FF4848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Total Sales by Region</a:t>
            </a:r>
          </a:p>
        </c:rich>
      </c:tx>
      <c:overlay val="0"/>
      <c:spPr>
        <a:noFill/>
        <a:ln w="0">
          <a:noFill/>
        </a:ln>
      </c:spPr>
    </c:title>
    <c:autoTitleDeleted val="0"/>
    <c:plotArea>
      <c:barChart>
        <c:barDir val="col"/>
        <c:grouping val="clustered"/>
        <c:varyColors val="0"/>
        <c:ser>
          <c:idx val="0"/>
          <c:order val="0"/>
          <c:tx>
            <c:strRef>
              <c:f>Task9_Charts!B4</c:f>
              <c:strCache>
                <c:ptCount val="1"/>
                <c:pt idx="0">
                  <c:v>Total Sales ($)</c:v>
                </c:pt>
              </c:strCache>
            </c:strRef>
          </c:tx>
          <c:spPr>
            <a:solidFill>
              <a:srgbClr val="4f81bd"/>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Task9_Charts!$A$5:$A$9</c:f>
              <c:strCache>
                <c:ptCount val="5"/>
                <c:pt idx="0">
                  <c:v>Central</c:v>
                </c:pt>
                <c:pt idx="1">
                  <c:v>East</c:v>
                </c:pt>
                <c:pt idx="2">
                  <c:v>North</c:v>
                </c:pt>
                <c:pt idx="3">
                  <c:v>South</c:v>
                </c:pt>
                <c:pt idx="4">
                  <c:v>West</c:v>
                </c:pt>
              </c:strCache>
            </c:strRef>
          </c:cat>
          <c:val>
            <c:numRef>
              <c:f>Task9_Charts!$B$5:$B$9</c:f>
              <c:numCache>
                <c:formatCode>#,##0.00</c:formatCode>
                <c:ptCount val="5"/>
                <c:pt idx="0">
                  <c:v>43468.33</c:v>
                </c:pt>
                <c:pt idx="1">
                  <c:v>32441.64</c:v>
                </c:pt>
                <c:pt idx="2">
                  <c:v>34975.42</c:v>
                </c:pt>
                <c:pt idx="3">
                  <c:v>40248.79</c:v>
                </c:pt>
                <c:pt idx="4">
                  <c:v>44083.58</c:v>
                </c:pt>
              </c:numCache>
            </c:numRef>
          </c:val>
        </c:ser>
        <c:gapWidth val="150"/>
        <c:overlap val="0"/>
        <c:axId val="34500087"/>
        <c:axId val="19316084"/>
      </c:barChart>
      <c:catAx>
        <c:axId val="34500087"/>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Region</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19316084"/>
        <c:crosses val="autoZero"/>
        <c:auto val="1"/>
        <c:lblAlgn val="ctr"/>
        <c:lblOffset val="100"/>
        <c:noMultiLvlLbl val="0"/>
      </c:catAx>
      <c:valAx>
        <c:axId val="19316084"/>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Sales ($)</a:t>
                </a:r>
              </a:p>
            </c:rich>
          </c:tx>
          <c:overlay val="0"/>
          <c:spPr>
            <a:noFill/>
            <a:ln w="0">
              <a:noFill/>
            </a:ln>
          </c:spPr>
        </c:title>
        <c:numFmt formatCode="#,##0.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345000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Sales Distribution by Product</a:t>
            </a:r>
          </a:p>
        </c:rich>
      </c:tx>
      <c:overlay val="0"/>
      <c:spPr>
        <a:noFill/>
        <a:ln w="0">
          <a:noFill/>
        </a:ln>
      </c:spPr>
    </c:title>
    <c:autoTitleDeleted val="0"/>
    <c:plotArea>
      <c:pieChart>
        <c:varyColors val="1"/>
        <c:ser>
          <c:idx val="0"/>
          <c:order val="0"/>
          <c:tx>
            <c:strRef>
              <c:f>Task9_Charts!B13</c:f>
              <c:strCache>
                <c:ptCount val="1"/>
                <c:pt idx="0">
                  <c:v>Total Sales ($)</c:v>
                </c:pt>
              </c:strCache>
            </c:strRef>
          </c:tx>
          <c:spPr>
            <a:solidFill>
              <a:srgbClr val="4f81bd"/>
            </a:solidFill>
            <a:ln w="6480">
              <a:solidFill>
                <a:srgbClr val="ffffff"/>
              </a:solidFill>
              <a:round/>
            </a:ln>
          </c:spPr>
          <c:explosion val="0"/>
          <c:dPt>
            <c:idx val="0"/>
            <c:spPr>
              <a:solidFill>
                <a:srgbClr val="4f81bd"/>
              </a:solidFill>
              <a:ln w="6480">
                <a:solidFill>
                  <a:srgbClr val="ffffff"/>
                </a:solidFill>
                <a:round/>
              </a:ln>
            </c:spPr>
          </c:dPt>
          <c:dPt>
            <c:idx val="1"/>
            <c:spPr>
              <a:solidFill>
                <a:srgbClr val="c0504d"/>
              </a:solidFill>
              <a:ln w="6480">
                <a:solidFill>
                  <a:srgbClr val="ffffff"/>
                </a:solidFill>
                <a:round/>
              </a:ln>
            </c:spPr>
          </c:dPt>
          <c:dPt>
            <c:idx val="2"/>
            <c:spPr>
              <a:solidFill>
                <a:srgbClr val="9bbb59"/>
              </a:solidFill>
              <a:ln w="6480">
                <a:solidFill>
                  <a:srgbClr val="ffffff"/>
                </a:solidFill>
                <a:round/>
              </a:ln>
            </c:spPr>
          </c:dPt>
          <c:dPt>
            <c:idx val="3"/>
            <c:spPr>
              <a:solidFill>
                <a:srgbClr val="8064a2"/>
              </a:solidFill>
              <a:ln w="6480">
                <a:solidFill>
                  <a:srgbClr val="ffffff"/>
                </a:solidFill>
                <a:round/>
              </a:ln>
            </c:spPr>
          </c:dPt>
          <c:dPt>
            <c:idx val="4"/>
            <c:spPr>
              <a:solidFill>
                <a:srgbClr val="4bacc6"/>
              </a:solidFill>
              <a:ln w="6480">
                <a:solidFill>
                  <a:srgbClr val="ffffff"/>
                </a:solidFill>
                <a:round/>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Task9_Charts!$A$14:$A$18</c:f>
              <c:strCache>
                <c:ptCount val="5"/>
                <c:pt idx="0">
                  <c:v>Books</c:v>
                </c:pt>
                <c:pt idx="1">
                  <c:v>Clothing</c:v>
                </c:pt>
                <c:pt idx="2">
                  <c:v>Electronics</c:v>
                </c:pt>
                <c:pt idx="3">
                  <c:v>Furniture</c:v>
                </c:pt>
                <c:pt idx="4">
                  <c:v>Office Supplies</c:v>
                </c:pt>
              </c:strCache>
            </c:strRef>
          </c:cat>
          <c:val>
            <c:numRef>
              <c:f>Task9_Charts!$B$14:$B$18</c:f>
              <c:numCache>
                <c:formatCode>#,##0.00</c:formatCode>
                <c:ptCount val="5"/>
                <c:pt idx="0">
                  <c:v>47002.46</c:v>
                </c:pt>
                <c:pt idx="1">
                  <c:v>41927.59</c:v>
                </c:pt>
                <c:pt idx="2">
                  <c:v>41044</c:v>
                </c:pt>
                <c:pt idx="3">
                  <c:v>36612.89</c:v>
                </c:pt>
                <c:pt idx="4">
                  <c:v>28630.82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Monthly Sales Trend 2024-2025</a:t>
            </a:r>
          </a:p>
        </c:rich>
      </c:tx>
      <c:overlay val="0"/>
      <c:spPr>
        <a:noFill/>
        <a:ln w="0">
          <a:noFill/>
        </a:ln>
      </c:spPr>
    </c:title>
    <c:autoTitleDeleted val="0"/>
    <c:plotArea>
      <c:lineChart>
        <c:grouping val="standard"/>
        <c:varyColors val="0"/>
        <c:ser>
          <c:idx val="0"/>
          <c:order val="0"/>
          <c:tx>
            <c:strRef>
              <c:f>Task9_Charts!B23</c:f>
              <c:strCache>
                <c:ptCount val="1"/>
                <c:pt idx="0">
                  <c:v>Sales ($)</c:v>
                </c:pt>
              </c:strCache>
            </c:strRef>
          </c:tx>
          <c:spPr>
            <a:solidFill>
              <a:srgbClr val="4f81bd"/>
            </a:solidFill>
            <a:ln w="31680">
              <a:solidFill>
                <a:srgbClr val="4f81b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Task9_Charts!$A$24:$A$36</c:f>
              <c:strCache>
                <c:ptCount val="13"/>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strCache>
            </c:strRef>
          </c:cat>
          <c:val>
            <c:numRef>
              <c:f>Task9_Charts!$B$24:$B$36</c:f>
              <c:numCache>
                <c:formatCode>#,##0.00</c:formatCode>
                <c:ptCount val="13"/>
                <c:pt idx="0">
                  <c:v>19029.96</c:v>
                </c:pt>
                <c:pt idx="1">
                  <c:v>18507.34</c:v>
                </c:pt>
                <c:pt idx="2">
                  <c:v>20187.51</c:v>
                </c:pt>
                <c:pt idx="3">
                  <c:v>11609.04</c:v>
                </c:pt>
                <c:pt idx="4">
                  <c:v>10091.7</c:v>
                </c:pt>
                <c:pt idx="5">
                  <c:v>20533.5</c:v>
                </c:pt>
                <c:pt idx="6">
                  <c:v>14215.24</c:v>
                </c:pt>
                <c:pt idx="7">
                  <c:v>20135.03</c:v>
                </c:pt>
                <c:pt idx="8">
                  <c:v>11120.04</c:v>
                </c:pt>
                <c:pt idx="9">
                  <c:v>14914.65</c:v>
                </c:pt>
                <c:pt idx="10">
                  <c:v>14006.36</c:v>
                </c:pt>
                <c:pt idx="11">
                  <c:v>17655.22</c:v>
                </c:pt>
                <c:pt idx="12">
                  <c:v>3212.17</c:v>
                </c:pt>
              </c:numCache>
            </c:numRef>
          </c:val>
          <c:smooth val="1"/>
        </c:ser>
        <c:hiLowLines>
          <c:spPr>
            <a:ln w="0">
              <a:noFill/>
            </a:ln>
          </c:spPr>
        </c:hiLowLines>
        <c:marker val="0"/>
        <c:axId val="5319439"/>
        <c:axId val="92141451"/>
      </c:lineChart>
      <c:catAx>
        <c:axId val="5319439"/>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Month</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92141451"/>
        <c:crosses val="autoZero"/>
        <c:auto val="1"/>
        <c:lblAlgn val="ctr"/>
        <c:lblOffset val="100"/>
        <c:noMultiLvlLbl val="0"/>
      </c:catAx>
      <c:valAx>
        <c:axId val="92141451"/>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Sales ($)</a:t>
                </a:r>
              </a:p>
            </c:rich>
          </c:tx>
          <c:overlay val="0"/>
          <c:spPr>
            <a:noFill/>
            <a:ln w="0">
              <a:noFill/>
            </a:ln>
          </c:spPr>
        </c:title>
        <c:numFmt formatCode="#,##0.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ea typeface="Calibri"/>
              </a:defRPr>
            </a:pPr>
          </a:p>
        </c:txPr>
        <c:crossAx val="53194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12</xdr:col>
      <xdr:colOff>255960</xdr:colOff>
      <xdr:row>24</xdr:row>
      <xdr:rowOff>128520</xdr:rowOff>
    </xdr:to>
    <xdr:graphicFrame>
      <xdr:nvGraphicFramePr>
        <xdr:cNvPr id="0" name="Chart 1"/>
        <xdr:cNvGraphicFramePr/>
      </xdr:nvGraphicFramePr>
      <xdr:xfrm>
        <a:off x="3430800" y="495360"/>
        <a:ext cx="57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17</xdr:row>
      <xdr:rowOff>0</xdr:rowOff>
    </xdr:from>
    <xdr:to>
      <xdr:col>12</xdr:col>
      <xdr:colOff>255960</xdr:colOff>
      <xdr:row>39</xdr:row>
      <xdr:rowOff>128520</xdr:rowOff>
    </xdr:to>
    <xdr:graphicFrame>
      <xdr:nvGraphicFramePr>
        <xdr:cNvPr id="1" name="Chart 2"/>
        <xdr:cNvGraphicFramePr/>
      </xdr:nvGraphicFramePr>
      <xdr:xfrm>
        <a:off x="3430800" y="3352680"/>
        <a:ext cx="575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34</xdr:row>
      <xdr:rowOff>0</xdr:rowOff>
    </xdr:from>
    <xdr:to>
      <xdr:col>15</xdr:col>
      <xdr:colOff>581400</xdr:colOff>
      <xdr:row>60</xdr:row>
      <xdr:rowOff>86400</xdr:rowOff>
    </xdr:to>
    <xdr:graphicFrame>
      <xdr:nvGraphicFramePr>
        <xdr:cNvPr id="2" name="Chart 3"/>
        <xdr:cNvGraphicFramePr/>
      </xdr:nvGraphicFramePr>
      <xdr:xfrm>
        <a:off x="3430800" y="6591240"/>
        <a:ext cx="7919640" cy="50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9800"/>
    <pageSetUpPr fitToPage="false"/>
  </sheetPr>
  <dimension ref="A1:N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4" min="1" style="0" width="14"/>
  </cols>
  <sheetData>
    <row r="1" customFormat="false" ht="37.5" hidden="false" customHeight="tru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4" customFormat="false" ht="19.5" hidden="false" customHeight="true" outlineLevel="0" collapsed="false">
      <c r="A4" s="3" t="s">
        <v>2</v>
      </c>
      <c r="B4" s="3"/>
      <c r="C4" s="3"/>
      <c r="D4" s="4" t="s">
        <v>3</v>
      </c>
      <c r="E4" s="4"/>
      <c r="F4" s="4"/>
      <c r="G4" s="5" t="s">
        <v>4</v>
      </c>
      <c r="H4" s="5"/>
      <c r="I4" s="5"/>
      <c r="J4" s="6" t="s">
        <v>5</v>
      </c>
      <c r="K4" s="6"/>
      <c r="L4" s="6"/>
    </row>
    <row r="5" customFormat="false" ht="30" hidden="false" customHeight="true" outlineLevel="0" collapsed="false">
      <c r="A5" s="7" t="s">
        <v>6</v>
      </c>
      <c r="B5" s="7"/>
      <c r="C5" s="7"/>
      <c r="D5" s="8" t="s">
        <v>7</v>
      </c>
      <c r="E5" s="8"/>
      <c r="F5" s="8"/>
      <c r="G5" s="9" t="s">
        <v>8</v>
      </c>
      <c r="H5" s="9"/>
      <c r="I5" s="9"/>
      <c r="J5" s="10" t="s">
        <v>9</v>
      </c>
      <c r="K5" s="10"/>
      <c r="L5" s="10"/>
    </row>
    <row r="8" customFormat="false" ht="19.5" hidden="false" customHeight="true" outlineLevel="0" collapsed="false">
      <c r="A8" s="11" t="s">
        <v>10</v>
      </c>
      <c r="B8" s="11"/>
      <c r="C8" s="11"/>
      <c r="D8" s="12" t="s">
        <v>11</v>
      </c>
      <c r="E8" s="12"/>
      <c r="F8" s="12"/>
      <c r="G8" s="13" t="s">
        <v>12</v>
      </c>
      <c r="H8" s="13"/>
      <c r="I8" s="13"/>
      <c r="J8" s="14" t="s">
        <v>13</v>
      </c>
      <c r="K8" s="14"/>
      <c r="L8" s="14"/>
    </row>
    <row r="9" customFormat="false" ht="30" hidden="false" customHeight="true" outlineLevel="0" collapsed="false">
      <c r="A9" s="15" t="s">
        <v>14</v>
      </c>
      <c r="B9" s="15"/>
      <c r="C9" s="15"/>
      <c r="D9" s="16" t="s">
        <v>15</v>
      </c>
      <c r="E9" s="16"/>
      <c r="F9" s="16"/>
      <c r="G9" s="17" t="s">
        <v>16</v>
      </c>
      <c r="H9" s="17"/>
      <c r="I9" s="17"/>
      <c r="J9" s="18" t="s">
        <v>17</v>
      </c>
      <c r="K9" s="18"/>
      <c r="L9" s="18"/>
    </row>
    <row r="12" customFormat="false" ht="24" hidden="false" customHeight="true" outlineLevel="0" collapsed="false">
      <c r="A12" s="19" t="s">
        <v>18</v>
      </c>
      <c r="B12" s="19"/>
      <c r="C12" s="19"/>
      <c r="D12" s="19"/>
      <c r="E12" s="19"/>
      <c r="F12" s="19"/>
      <c r="G12" s="19"/>
      <c r="I12" s="20" t="s">
        <v>19</v>
      </c>
      <c r="J12" s="20"/>
      <c r="K12" s="20"/>
      <c r="L12" s="20"/>
      <c r="M12" s="20"/>
      <c r="N12" s="20"/>
    </row>
    <row r="13" customFormat="false" ht="15" hidden="false" customHeight="false" outlineLevel="0" collapsed="false">
      <c r="A13" s="21" t="s">
        <v>20</v>
      </c>
      <c r="B13" s="21" t="s">
        <v>21</v>
      </c>
      <c r="C13" s="21" t="s">
        <v>22</v>
      </c>
      <c r="D13" s="21" t="s">
        <v>23</v>
      </c>
      <c r="E13" s="21" t="s">
        <v>24</v>
      </c>
      <c r="F13" s="21" t="s">
        <v>25</v>
      </c>
      <c r="G13" s="21" t="s">
        <v>26</v>
      </c>
      <c r="I13" s="22" t="s">
        <v>27</v>
      </c>
      <c r="J13" s="22" t="s">
        <v>21</v>
      </c>
      <c r="K13" s="22" t="s">
        <v>22</v>
      </c>
      <c r="L13" s="22" t="s">
        <v>23</v>
      </c>
      <c r="M13" s="22" t="s">
        <v>25</v>
      </c>
      <c r="N13" s="22" t="s">
        <v>26</v>
      </c>
    </row>
    <row r="14" customFormat="false" ht="15" hidden="false" customHeight="false" outlineLevel="0" collapsed="false">
      <c r="A14" s="23" t="s">
        <v>14</v>
      </c>
      <c r="B14" s="24" t="n">
        <v>44084</v>
      </c>
      <c r="C14" s="24" t="n">
        <v>14986</v>
      </c>
      <c r="D14" s="25" t="n">
        <v>43</v>
      </c>
      <c r="E14" s="24" t="n">
        <v>1025</v>
      </c>
      <c r="F14" s="26" t="n">
        <v>0.3399</v>
      </c>
      <c r="G14" s="25" t="n">
        <v>1</v>
      </c>
      <c r="I14" s="23" t="s">
        <v>15</v>
      </c>
      <c r="J14" s="24" t="n">
        <v>47002</v>
      </c>
      <c r="K14" s="24" t="n">
        <v>16902</v>
      </c>
      <c r="L14" s="25" t="n">
        <v>49</v>
      </c>
      <c r="M14" s="26" t="n">
        <v>0.3596</v>
      </c>
      <c r="N14" s="25" t="n">
        <v>1</v>
      </c>
    </row>
    <row r="15" customFormat="false" ht="15" hidden="false" customHeight="false" outlineLevel="0" collapsed="false">
      <c r="A15" s="27" t="s">
        <v>28</v>
      </c>
      <c r="B15" s="28" t="n">
        <v>43468</v>
      </c>
      <c r="C15" s="28" t="n">
        <v>16068</v>
      </c>
      <c r="D15" s="29" t="n">
        <v>44</v>
      </c>
      <c r="E15" s="28" t="n">
        <v>988</v>
      </c>
      <c r="F15" s="30" t="n">
        <v>0.3697</v>
      </c>
      <c r="G15" s="29" t="n">
        <v>2</v>
      </c>
      <c r="I15" s="31" t="s">
        <v>29</v>
      </c>
      <c r="J15" s="32" t="n">
        <v>41928</v>
      </c>
      <c r="K15" s="32" t="n">
        <v>18784</v>
      </c>
      <c r="L15" s="33" t="n">
        <v>41</v>
      </c>
      <c r="M15" s="34" t="n">
        <v>0.448</v>
      </c>
      <c r="N15" s="33" t="n">
        <v>2</v>
      </c>
    </row>
    <row r="16" customFormat="false" ht="15" hidden="false" customHeight="false" outlineLevel="0" collapsed="false">
      <c r="A16" s="23" t="s">
        <v>30</v>
      </c>
      <c r="B16" s="24" t="n">
        <v>40249</v>
      </c>
      <c r="C16" s="24" t="n">
        <v>13692</v>
      </c>
      <c r="D16" s="25" t="n">
        <v>42</v>
      </c>
      <c r="E16" s="24" t="n">
        <v>958</v>
      </c>
      <c r="F16" s="26" t="n">
        <v>0.3402</v>
      </c>
      <c r="G16" s="25" t="n">
        <v>3</v>
      </c>
      <c r="I16" s="23" t="s">
        <v>31</v>
      </c>
      <c r="J16" s="24" t="n">
        <v>41044</v>
      </c>
      <c r="K16" s="24" t="n">
        <v>9182</v>
      </c>
      <c r="L16" s="25" t="n">
        <v>43</v>
      </c>
      <c r="M16" s="26" t="n">
        <v>0.2237</v>
      </c>
      <c r="N16" s="25" t="n">
        <v>3</v>
      </c>
    </row>
    <row r="17" customFormat="false" ht="15" hidden="false" customHeight="false" outlineLevel="0" collapsed="false">
      <c r="A17" s="27" t="s">
        <v>32</v>
      </c>
      <c r="B17" s="28" t="n">
        <v>34975</v>
      </c>
      <c r="C17" s="28" t="n">
        <v>11902</v>
      </c>
      <c r="D17" s="29" t="n">
        <v>39</v>
      </c>
      <c r="E17" s="28" t="n">
        <v>897</v>
      </c>
      <c r="F17" s="30" t="n">
        <v>0.3403</v>
      </c>
      <c r="G17" s="29" t="n">
        <v>4</v>
      </c>
      <c r="I17" s="31" t="s">
        <v>33</v>
      </c>
      <c r="J17" s="32" t="n">
        <v>36613</v>
      </c>
      <c r="K17" s="32" t="n">
        <v>11579</v>
      </c>
      <c r="L17" s="33" t="n">
        <v>36</v>
      </c>
      <c r="M17" s="34" t="n">
        <v>0.3163</v>
      </c>
      <c r="N17" s="33" t="n">
        <v>4</v>
      </c>
    </row>
    <row r="18" customFormat="false" ht="15" hidden="false" customHeight="false" outlineLevel="0" collapsed="false">
      <c r="A18" s="23" t="s">
        <v>34</v>
      </c>
      <c r="B18" s="24" t="n">
        <v>32442</v>
      </c>
      <c r="C18" s="24" t="n">
        <v>11639</v>
      </c>
      <c r="D18" s="25" t="n">
        <v>32</v>
      </c>
      <c r="E18" s="24" t="n">
        <v>1014</v>
      </c>
      <c r="F18" s="26" t="n">
        <v>0.3588</v>
      </c>
      <c r="G18" s="25" t="n">
        <v>5</v>
      </c>
      <c r="I18" s="23" t="s">
        <v>35</v>
      </c>
      <c r="J18" s="24" t="n">
        <v>28631</v>
      </c>
      <c r="K18" s="24" t="n">
        <v>11840</v>
      </c>
      <c r="L18" s="25" t="n">
        <v>31</v>
      </c>
      <c r="M18" s="26" t="n">
        <v>0.4135</v>
      </c>
      <c r="N18" s="25" t="n">
        <v>5</v>
      </c>
    </row>
    <row r="22" customFormat="false" ht="24" hidden="false" customHeight="true" outlineLevel="0" collapsed="false">
      <c r="A22" s="35" t="s">
        <v>36</v>
      </c>
      <c r="B22" s="35"/>
      <c r="C22" s="35"/>
      <c r="D22" s="35"/>
      <c r="E22" s="35"/>
      <c r="F22" s="35"/>
      <c r="G22" s="35"/>
      <c r="H22" s="35"/>
      <c r="I22" s="35"/>
      <c r="J22" s="35"/>
      <c r="K22" s="35"/>
      <c r="L22" s="35"/>
      <c r="M22" s="35"/>
      <c r="N22" s="35"/>
    </row>
    <row r="23" customFormat="false" ht="24" hidden="false" customHeight="true" outlineLevel="0" collapsed="false">
      <c r="A23" s="36" t="s">
        <v>37</v>
      </c>
      <c r="B23" s="36"/>
      <c r="C23" s="37" t="s">
        <v>38</v>
      </c>
      <c r="D23" s="37"/>
      <c r="E23" s="37"/>
      <c r="F23" s="37"/>
      <c r="G23" s="37"/>
      <c r="H23" s="37"/>
      <c r="I23" s="37"/>
      <c r="J23" s="37"/>
      <c r="K23" s="37"/>
      <c r="L23" s="37"/>
      <c r="M23" s="37"/>
      <c r="N23" s="37"/>
    </row>
    <row r="24" customFormat="false" ht="24" hidden="false" customHeight="true" outlineLevel="0" collapsed="false">
      <c r="A24" s="38" t="s">
        <v>39</v>
      </c>
      <c r="B24" s="38"/>
      <c r="C24" s="39" t="s">
        <v>40</v>
      </c>
      <c r="D24" s="39"/>
      <c r="E24" s="39"/>
      <c r="F24" s="39"/>
      <c r="G24" s="39"/>
      <c r="H24" s="39"/>
      <c r="I24" s="39"/>
      <c r="J24" s="39"/>
      <c r="K24" s="39"/>
      <c r="L24" s="39"/>
      <c r="M24" s="39"/>
      <c r="N24" s="39"/>
    </row>
    <row r="25" customFormat="false" ht="24" hidden="false" customHeight="true" outlineLevel="0" collapsed="false">
      <c r="A25" s="36" t="s">
        <v>41</v>
      </c>
      <c r="B25" s="36"/>
      <c r="C25" s="37" t="s">
        <v>42</v>
      </c>
      <c r="D25" s="37"/>
      <c r="E25" s="37"/>
      <c r="F25" s="37"/>
      <c r="G25" s="37"/>
      <c r="H25" s="37"/>
      <c r="I25" s="37"/>
      <c r="J25" s="37"/>
      <c r="K25" s="37"/>
      <c r="L25" s="37"/>
      <c r="M25" s="37"/>
      <c r="N25" s="37"/>
    </row>
    <row r="26" customFormat="false" ht="24" hidden="false" customHeight="true" outlineLevel="0" collapsed="false">
      <c r="A26" s="38" t="s">
        <v>43</v>
      </c>
      <c r="B26" s="38"/>
      <c r="C26" s="39" t="s">
        <v>44</v>
      </c>
      <c r="D26" s="39"/>
      <c r="E26" s="39"/>
      <c r="F26" s="39"/>
      <c r="G26" s="39"/>
      <c r="H26" s="39"/>
      <c r="I26" s="39"/>
      <c r="J26" s="39"/>
      <c r="K26" s="39"/>
      <c r="L26" s="39"/>
      <c r="M26" s="39"/>
      <c r="N26" s="39"/>
    </row>
    <row r="27" customFormat="false" ht="24" hidden="false" customHeight="true" outlineLevel="0" collapsed="false">
      <c r="A27" s="36" t="s">
        <v>45</v>
      </c>
      <c r="B27" s="36"/>
      <c r="C27" s="37" t="s">
        <v>46</v>
      </c>
      <c r="D27" s="37"/>
      <c r="E27" s="37"/>
      <c r="F27" s="37"/>
      <c r="G27" s="37"/>
      <c r="H27" s="37"/>
      <c r="I27" s="37"/>
      <c r="J27" s="37"/>
      <c r="K27" s="37"/>
      <c r="L27" s="37"/>
      <c r="M27" s="37"/>
      <c r="N27" s="37"/>
    </row>
    <row r="28" customFormat="false" ht="24" hidden="false" customHeight="true" outlineLevel="0" collapsed="false">
      <c r="A28" s="38" t="s">
        <v>47</v>
      </c>
      <c r="B28" s="38"/>
      <c r="C28" s="39" t="s">
        <v>48</v>
      </c>
      <c r="D28" s="39"/>
      <c r="E28" s="39"/>
      <c r="F28" s="39"/>
      <c r="G28" s="39"/>
      <c r="H28" s="39"/>
      <c r="I28" s="39"/>
      <c r="J28" s="39"/>
      <c r="K28" s="39"/>
      <c r="L28" s="39"/>
      <c r="M28" s="39"/>
      <c r="N28" s="39"/>
    </row>
    <row r="29" customFormat="false" ht="24" hidden="false" customHeight="true" outlineLevel="0" collapsed="false">
      <c r="A29" s="36" t="s">
        <v>49</v>
      </c>
      <c r="B29" s="36"/>
      <c r="C29" s="37" t="s">
        <v>50</v>
      </c>
      <c r="D29" s="37"/>
      <c r="E29" s="37"/>
      <c r="F29" s="37"/>
      <c r="G29" s="37"/>
      <c r="H29" s="37"/>
      <c r="I29" s="37"/>
      <c r="J29" s="37"/>
      <c r="K29" s="37"/>
      <c r="L29" s="37"/>
      <c r="M29" s="37"/>
      <c r="N29" s="37"/>
    </row>
    <row r="32" customFormat="false" ht="24" hidden="false" customHeight="true" outlineLevel="0" collapsed="false">
      <c r="A32" s="40" t="s">
        <v>51</v>
      </c>
      <c r="B32" s="40"/>
      <c r="C32" s="40"/>
      <c r="D32" s="40"/>
      <c r="E32" s="40"/>
      <c r="F32" s="40"/>
      <c r="G32" s="40"/>
      <c r="H32" s="40"/>
      <c r="I32" s="40"/>
      <c r="J32" s="40"/>
      <c r="K32" s="40"/>
      <c r="L32" s="40"/>
      <c r="M32" s="40"/>
      <c r="N32" s="40"/>
    </row>
    <row r="33" customFormat="false" ht="21.75" hidden="false" customHeight="true" outlineLevel="0" collapsed="false">
      <c r="A33" s="41" t="s">
        <v>52</v>
      </c>
      <c r="B33" s="41"/>
      <c r="C33" s="42" t="s">
        <v>53</v>
      </c>
      <c r="D33" s="42"/>
      <c r="E33" s="43" t="s">
        <v>54</v>
      </c>
      <c r="F33" s="43"/>
      <c r="G33" s="44" t="s">
        <v>55</v>
      </c>
      <c r="H33" s="44"/>
      <c r="I33" s="45" t="s">
        <v>56</v>
      </c>
      <c r="J33" s="45"/>
    </row>
    <row r="34" customFormat="false" ht="30" hidden="false" customHeight="true" outlineLevel="0" collapsed="false">
      <c r="A34" s="46" t="s">
        <v>57</v>
      </c>
      <c r="B34" s="46"/>
      <c r="C34" s="46" t="s">
        <v>58</v>
      </c>
      <c r="D34" s="46"/>
      <c r="E34" s="46" t="s">
        <v>59</v>
      </c>
      <c r="F34" s="46"/>
      <c r="G34" s="46" t="s">
        <v>60</v>
      </c>
      <c r="H34" s="46"/>
      <c r="I34" s="46" t="s">
        <v>61</v>
      </c>
      <c r="J34" s="46"/>
    </row>
    <row r="36" customFormat="false" ht="21.75" hidden="false" customHeight="true" outlineLevel="0" collapsed="false">
      <c r="A36" s="47" t="s">
        <v>62</v>
      </c>
      <c r="B36" s="47"/>
      <c r="C36" s="48" t="s">
        <v>63</v>
      </c>
      <c r="D36" s="48"/>
      <c r="E36" s="49" t="s">
        <v>64</v>
      </c>
      <c r="F36" s="49"/>
      <c r="G36" s="50" t="s">
        <v>65</v>
      </c>
      <c r="H36" s="50"/>
    </row>
    <row r="37" customFormat="false" ht="30" hidden="false" customHeight="true" outlineLevel="0" collapsed="false">
      <c r="A37" s="46" t="s">
        <v>66</v>
      </c>
      <c r="B37" s="46"/>
      <c r="C37" s="46" t="s">
        <v>67</v>
      </c>
      <c r="D37" s="46"/>
      <c r="E37" s="46" t="s">
        <v>68</v>
      </c>
      <c r="F37" s="46"/>
      <c r="G37" s="46" t="s">
        <v>69</v>
      </c>
      <c r="H37" s="46"/>
    </row>
  </sheetData>
  <mergeCells count="54">
    <mergeCell ref="A1:N1"/>
    <mergeCell ref="A2:N2"/>
    <mergeCell ref="A4:C4"/>
    <mergeCell ref="D4:F4"/>
    <mergeCell ref="G4:I4"/>
    <mergeCell ref="J4:L4"/>
    <mergeCell ref="A5:C5"/>
    <mergeCell ref="D5:F5"/>
    <mergeCell ref="G5:I5"/>
    <mergeCell ref="J5:L5"/>
    <mergeCell ref="A8:C8"/>
    <mergeCell ref="D8:F8"/>
    <mergeCell ref="G8:I8"/>
    <mergeCell ref="J8:L8"/>
    <mergeCell ref="A9:C9"/>
    <mergeCell ref="D9:F9"/>
    <mergeCell ref="G9:I9"/>
    <mergeCell ref="J9:L9"/>
    <mergeCell ref="A12:G12"/>
    <mergeCell ref="I12:N12"/>
    <mergeCell ref="A22:N22"/>
    <mergeCell ref="A23:B23"/>
    <mergeCell ref="C23:N23"/>
    <mergeCell ref="A24:B24"/>
    <mergeCell ref="C24:N24"/>
    <mergeCell ref="A25:B25"/>
    <mergeCell ref="C25:N25"/>
    <mergeCell ref="A26:B26"/>
    <mergeCell ref="C26:N26"/>
    <mergeCell ref="A27:B27"/>
    <mergeCell ref="C27:N27"/>
    <mergeCell ref="A28:B28"/>
    <mergeCell ref="C28:N28"/>
    <mergeCell ref="A29:B29"/>
    <mergeCell ref="C29:N29"/>
    <mergeCell ref="A32:N32"/>
    <mergeCell ref="A33:B33"/>
    <mergeCell ref="C33:D33"/>
    <mergeCell ref="E33:F33"/>
    <mergeCell ref="G33:H33"/>
    <mergeCell ref="I33:J33"/>
    <mergeCell ref="A34:B34"/>
    <mergeCell ref="C34:D34"/>
    <mergeCell ref="E34:F34"/>
    <mergeCell ref="G34:H34"/>
    <mergeCell ref="I34:J34"/>
    <mergeCell ref="A36:B36"/>
    <mergeCell ref="C36:D36"/>
    <mergeCell ref="E36:F36"/>
    <mergeCell ref="G36:H36"/>
    <mergeCell ref="A37:B37"/>
    <mergeCell ref="C37:D37"/>
    <mergeCell ref="E37:F37"/>
    <mergeCell ref="G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74.86"/>
    <col collapsed="false" customWidth="true" hidden="false" outlineLevel="0" max="26" min="2" style="0" width="8.71"/>
  </cols>
  <sheetData>
    <row r="1" customFormat="false" ht="15" hidden="false" customHeight="false" outlineLevel="0" collapsed="false">
      <c r="A1" s="51" t="s">
        <v>70</v>
      </c>
      <c r="B1" s="52"/>
      <c r="C1" s="52"/>
      <c r="D1" s="52"/>
      <c r="E1" s="52"/>
      <c r="F1" s="52"/>
      <c r="G1" s="52"/>
      <c r="H1" s="52"/>
      <c r="I1" s="52"/>
      <c r="J1" s="52"/>
      <c r="K1" s="52"/>
      <c r="L1" s="52"/>
      <c r="M1" s="52"/>
      <c r="N1" s="52"/>
      <c r="O1" s="52"/>
      <c r="P1" s="52"/>
      <c r="Q1" s="52"/>
      <c r="R1" s="52"/>
      <c r="S1" s="52"/>
      <c r="T1" s="52"/>
      <c r="U1" s="52"/>
      <c r="V1" s="52"/>
      <c r="W1" s="52"/>
      <c r="X1" s="52"/>
      <c r="Y1" s="52"/>
      <c r="Z1" s="52"/>
    </row>
    <row r="2" customFormat="false" ht="15" hidden="false" customHeight="false" outlineLevel="0" collapsed="false">
      <c r="A2" s="53" t="s">
        <v>71</v>
      </c>
      <c r="B2" s="52"/>
      <c r="C2" s="52"/>
      <c r="D2" s="52"/>
      <c r="E2" s="52"/>
      <c r="F2" s="52"/>
      <c r="G2" s="52"/>
      <c r="H2" s="52"/>
      <c r="I2" s="52"/>
      <c r="J2" s="52"/>
      <c r="K2" s="52"/>
      <c r="L2" s="52"/>
      <c r="M2" s="52"/>
      <c r="N2" s="52"/>
      <c r="O2" s="52"/>
      <c r="P2" s="52"/>
      <c r="Q2" s="52"/>
      <c r="R2" s="52"/>
      <c r="S2" s="52"/>
      <c r="T2" s="52"/>
      <c r="U2" s="52"/>
      <c r="V2" s="52"/>
      <c r="W2" s="52"/>
      <c r="X2" s="52"/>
      <c r="Y2" s="52"/>
      <c r="Z2" s="52"/>
    </row>
    <row r="3" customFormat="false" ht="15" hidden="false" customHeight="false" outlineLevel="0" collapsed="false">
      <c r="A3" s="52"/>
      <c r="B3" s="52"/>
      <c r="C3" s="52"/>
      <c r="D3" s="52"/>
      <c r="E3" s="52"/>
      <c r="F3" s="52"/>
      <c r="G3" s="52"/>
      <c r="H3" s="52"/>
      <c r="I3" s="52"/>
      <c r="J3" s="52"/>
      <c r="K3" s="52"/>
      <c r="L3" s="52"/>
      <c r="M3" s="52"/>
      <c r="N3" s="52"/>
      <c r="O3" s="52"/>
      <c r="P3" s="52"/>
      <c r="Q3" s="52"/>
      <c r="R3" s="52"/>
      <c r="S3" s="52"/>
      <c r="T3" s="52"/>
      <c r="U3" s="52"/>
      <c r="V3" s="52"/>
      <c r="W3" s="52"/>
      <c r="X3" s="52"/>
      <c r="Y3" s="52"/>
      <c r="Z3" s="52"/>
    </row>
    <row r="4" customFormat="false" ht="15.75" hidden="false" customHeight="true" outlineLevel="0" collapsed="false">
      <c r="A4" s="52"/>
      <c r="B4" s="52"/>
      <c r="C4" s="52"/>
      <c r="D4" s="52"/>
      <c r="E4" s="52"/>
      <c r="F4" s="52"/>
      <c r="G4" s="52"/>
      <c r="H4" s="52"/>
      <c r="I4" s="52"/>
      <c r="J4" s="52"/>
      <c r="K4" s="52"/>
      <c r="L4" s="52"/>
      <c r="M4" s="52"/>
      <c r="N4" s="52"/>
      <c r="O4" s="52"/>
      <c r="P4" s="52"/>
      <c r="Q4" s="52"/>
      <c r="R4" s="52"/>
      <c r="S4" s="52"/>
      <c r="T4" s="52"/>
      <c r="U4" s="52"/>
      <c r="V4" s="52"/>
      <c r="W4" s="52"/>
      <c r="X4" s="52"/>
      <c r="Y4" s="52"/>
      <c r="Z4" s="52"/>
    </row>
    <row r="5" customFormat="false" ht="15.75" hidden="false" customHeight="true" outlineLevel="0" collapsed="false">
      <c r="A5" s="52"/>
      <c r="B5" s="52"/>
      <c r="C5" s="52"/>
      <c r="D5" s="52"/>
      <c r="E5" s="52"/>
      <c r="F5" s="52"/>
      <c r="G5" s="52"/>
      <c r="H5" s="52"/>
      <c r="I5" s="52"/>
      <c r="J5" s="52"/>
      <c r="K5" s="52"/>
      <c r="L5" s="52"/>
      <c r="M5" s="52"/>
      <c r="N5" s="52"/>
      <c r="O5" s="52"/>
      <c r="P5" s="52"/>
      <c r="Q5" s="52"/>
      <c r="R5" s="52"/>
      <c r="S5" s="52"/>
      <c r="T5" s="52"/>
      <c r="U5" s="52"/>
      <c r="V5" s="52"/>
      <c r="W5" s="52"/>
      <c r="X5" s="52"/>
      <c r="Y5" s="52"/>
      <c r="Z5" s="52"/>
    </row>
    <row r="6" customFormat="false" ht="15.75" hidden="false" customHeight="true" outlineLevel="0" collapsed="false">
      <c r="A6" s="52"/>
      <c r="B6" s="52"/>
      <c r="C6" s="52"/>
      <c r="D6" s="52"/>
      <c r="E6" s="52"/>
      <c r="F6" s="52"/>
      <c r="G6" s="52"/>
      <c r="H6" s="52"/>
      <c r="I6" s="52"/>
      <c r="J6" s="52"/>
      <c r="K6" s="52"/>
      <c r="L6" s="52"/>
      <c r="M6" s="52"/>
      <c r="N6" s="52"/>
      <c r="O6" s="52"/>
      <c r="P6" s="52"/>
      <c r="Q6" s="52"/>
      <c r="R6" s="52"/>
      <c r="S6" s="52"/>
      <c r="T6" s="52"/>
      <c r="U6" s="52"/>
      <c r="V6" s="52"/>
      <c r="W6" s="52"/>
      <c r="X6" s="52"/>
      <c r="Y6" s="52"/>
      <c r="Z6" s="52"/>
    </row>
    <row r="7" customFormat="false" ht="15.75" hidden="false" customHeight="true" outlineLevel="0" collapsed="false">
      <c r="A7" s="52"/>
      <c r="B7" s="52"/>
      <c r="C7" s="52"/>
      <c r="D7" s="52"/>
      <c r="E7" s="52"/>
      <c r="F7" s="52"/>
      <c r="G7" s="52"/>
      <c r="H7" s="52"/>
      <c r="I7" s="52"/>
      <c r="J7" s="52"/>
      <c r="K7" s="52"/>
      <c r="L7" s="52"/>
      <c r="M7" s="52"/>
      <c r="N7" s="52"/>
      <c r="O7" s="52"/>
      <c r="P7" s="52"/>
      <c r="Q7" s="52"/>
      <c r="R7" s="52"/>
      <c r="S7" s="52"/>
      <c r="T7" s="52"/>
      <c r="U7" s="52"/>
      <c r="V7" s="52"/>
      <c r="W7" s="52"/>
      <c r="X7" s="52"/>
      <c r="Y7" s="52"/>
      <c r="Z7" s="52"/>
    </row>
    <row r="8" customFormat="false" ht="15.75" hidden="false" customHeight="true" outlineLevel="0" collapsed="false">
      <c r="A8" s="52"/>
      <c r="B8" s="52"/>
      <c r="C8" s="52"/>
      <c r="D8" s="52"/>
      <c r="E8" s="52"/>
      <c r="F8" s="52"/>
      <c r="G8" s="52"/>
      <c r="H8" s="52"/>
      <c r="I8" s="52"/>
      <c r="J8" s="52"/>
      <c r="K8" s="52"/>
      <c r="L8" s="52"/>
      <c r="M8" s="52"/>
      <c r="N8" s="52"/>
      <c r="O8" s="52"/>
      <c r="P8" s="52"/>
      <c r="Q8" s="52"/>
      <c r="R8" s="52"/>
      <c r="S8" s="52"/>
      <c r="T8" s="52"/>
      <c r="U8" s="52"/>
      <c r="V8" s="52"/>
      <c r="W8" s="52"/>
      <c r="X8" s="52"/>
      <c r="Y8" s="52"/>
      <c r="Z8" s="52"/>
    </row>
    <row r="9" customFormat="false" ht="15.75" hidden="false" customHeight="true" outlineLevel="0" collapsed="false">
      <c r="A9" s="52"/>
      <c r="B9" s="52"/>
      <c r="C9" s="52"/>
      <c r="D9" s="52"/>
      <c r="E9" s="52"/>
      <c r="F9" s="52"/>
      <c r="G9" s="52"/>
      <c r="H9" s="52"/>
      <c r="I9" s="52"/>
      <c r="J9" s="52"/>
      <c r="K9" s="52"/>
      <c r="L9" s="52"/>
      <c r="M9" s="52"/>
      <c r="N9" s="52"/>
      <c r="O9" s="52"/>
      <c r="P9" s="52"/>
      <c r="Q9" s="52"/>
      <c r="R9" s="52"/>
      <c r="S9" s="52"/>
      <c r="T9" s="52"/>
      <c r="U9" s="52"/>
      <c r="V9" s="52"/>
      <c r="W9" s="52"/>
      <c r="X9" s="52"/>
      <c r="Y9" s="52"/>
      <c r="Z9" s="52"/>
    </row>
    <row r="10" customFormat="false" ht="15.75" hidden="false" customHeight="true" outlineLevel="0" collapsed="false">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customFormat="false" ht="15.75" hidden="false" customHeight="true" outlineLevel="0" collapsed="false">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ustomFormat="false" ht="15.75" hidden="false" customHeight="true" outlineLevel="0" collapsed="false">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customFormat="false" ht="15.75" hidden="false" customHeight="true" outlineLevel="0" collapsed="false">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customFormat="false" ht="15.75" hidden="false" customHeight="true" outlineLevel="0" collapsed="false">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customFormat="false" ht="15.75" hidden="false" customHeight="true" outlineLevel="0" collapsed="false">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customFormat="false" ht="15.75" hidden="false" customHeight="true" outlineLevel="0" collapsed="false">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customFormat="false" ht="15.75" hidden="false" customHeight="true" outlineLevel="0" collapsed="false">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customFormat="false" ht="15.75" hidden="false" customHeight="true" outlineLevel="0" collapsed="false">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ustomFormat="false" ht="15.75" hidden="false" customHeight="true" outlineLevel="0" collapsed="false">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ustomFormat="false" ht="15.75" hidden="false" customHeight="true" outlineLevel="0" collapsed="false">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customFormat="false" ht="15.75" hidden="false" customHeight="true" outlineLevel="0" collapsed="false">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customFormat="false" ht="15.75" hidden="false" customHeight="true" outlineLevel="0" collapsed="false">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customFormat="false" ht="15.75" hidden="false" customHeight="true" outlineLevel="0" collapsed="false">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customFormat="false" ht="15.75" hidden="false" customHeight="true" outlineLevel="0" collapsed="false">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ustomFormat="false" ht="15.75" hidden="false" customHeight="true" outlineLevel="0" collapsed="false">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customFormat="false" ht="15.75" hidden="false" customHeight="true" outlineLevel="0" collapsed="false">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customFormat="false" ht="15.75" hidden="false" customHeight="true" outlineLevel="0" collapsed="false">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customFormat="false" ht="15.75" hidden="false" customHeight="true" outlineLevel="0" collapsed="false">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customFormat="false" ht="15.75" hidden="false" customHeight="true" outlineLevel="0" collapsed="false">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customFormat="false" ht="15.75" hidden="false" customHeight="true" outlineLevel="0" collapsed="false">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customFormat="false" ht="15.75" hidden="false" customHeight="true" outlineLevel="0" collapsed="false">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customFormat="false" ht="15.75" hidden="false" customHeight="true" outlineLevel="0" collapsed="false">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customFormat="false" ht="15.75" hidden="false" customHeight="true" outlineLevel="0" collapsed="false">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customFormat="false" ht="15.75" hidden="false" customHeight="true" outlineLevel="0" collapsed="false">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customFormat="false" ht="15.75" hidden="false" customHeight="true" outlineLevel="0" collapsed="false">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ustomFormat="false" ht="15.75" hidden="false" customHeight="true" outlineLevel="0" collapsed="false">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ustomFormat="false" ht="15.75" hidden="false" customHeight="true" outlineLevel="0" collapsed="false">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customFormat="false" ht="15.75" hidden="false" customHeight="true" outlineLevel="0" collapsed="false">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customFormat="false" ht="15.75" hidden="false" customHeight="true" outlineLevel="0" collapsed="false">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customFormat="false" ht="15.75" hidden="false" customHeight="true" outlineLevel="0" collapsed="false">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customFormat="false" ht="15.75" hidden="false" customHeight="true" outlineLevel="0" collapsed="false">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customFormat="false" ht="15.75" hidden="false" customHeight="true" outlineLevel="0" collapsed="false">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customFormat="false" ht="15.75" hidden="false" customHeight="true" outlineLevel="0" collapsed="false">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customFormat="false" ht="15.75" hidden="false" customHeight="true" outlineLevel="0" collapsed="false">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customFormat="false" ht="15.75" hidden="false" customHeight="true" outlineLevel="0" collapsed="false">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customFormat="false" ht="15.75" hidden="false" customHeight="true" outlineLevel="0" collapsed="false">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customFormat="false" ht="15.75" hidden="false" customHeight="true" outlineLevel="0" collapsed="false">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customFormat="false" ht="15.75" hidden="false" customHeight="true" outlineLevel="0" collapsed="false">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customFormat="false" ht="15.75" hidden="false" customHeight="true" outlineLevel="0" collapsed="false">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customFormat="false" ht="15.75" hidden="false" customHeight="true" outlineLevel="0" collapsed="false">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ustomFormat="false" ht="15.75" hidden="false" customHeight="true" outlineLevel="0" collapsed="false">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ustomFormat="false" ht="15.75" hidden="false" customHeight="true" outlineLevel="0" collapsed="false">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ustomFormat="false" ht="15.75" hidden="false" customHeight="true" outlineLevel="0" collapsed="false">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ustomFormat="false" ht="15.75" hidden="false" customHeight="true" outlineLevel="0" collapsed="false">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ustomFormat="false" ht="15.75" hidden="false" customHeight="true" outlineLevel="0" collapsed="false">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ustomFormat="false" ht="15.75" hidden="false" customHeight="true" outlineLevel="0" collapsed="false">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ustomFormat="false" ht="15.75" hidden="false" customHeight="true" outlineLevel="0" collapsed="false">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ustomFormat="false" ht="15.75" hidden="false" customHeight="true" outlineLevel="0" collapsed="false">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ustomFormat="false" ht="15.75" hidden="false" customHeight="true" outlineLevel="0" collapsed="false">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ustomFormat="false" ht="15.75" hidden="false" customHeight="true" outlineLevel="0" collapsed="false">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ustomFormat="false" ht="15.75" hidden="false" customHeight="true" outlineLevel="0" collapsed="false">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ustomFormat="false" ht="15.75" hidden="false" customHeight="true" outlineLevel="0" collapsed="false">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ustomFormat="false" ht="15.75" hidden="false" customHeight="true" outlineLevel="0" collapsed="false">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ustomFormat="false" ht="15.75" hidden="false" customHeight="true" outlineLevel="0" collapsed="false">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ustomFormat="false" ht="15.75" hidden="false" customHeight="true" outlineLevel="0" collapsed="false">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ustomFormat="false" ht="15.75" hidden="false" customHeight="true" outlineLevel="0" collapsed="false">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ustomFormat="false" ht="15.75" hidden="false" customHeight="true" outlineLevel="0" collapsed="false">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ustomFormat="false" ht="15.75" hidden="false" customHeight="true" outlineLevel="0" collapsed="false">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ustomFormat="false" ht="15.75" hidden="false" customHeight="true" outlineLevel="0" collapsed="false">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ustomFormat="false" ht="15.75" hidden="false" customHeight="true" outlineLevel="0" collapsed="false">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ustomFormat="false" ht="15.75" hidden="false" customHeight="true" outlineLevel="0" collapsed="false">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ustomFormat="false" ht="15.75" hidden="false" customHeight="true" outlineLevel="0" collapsed="false">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ustomFormat="false" ht="15.75" hidden="false" customHeight="true" outlineLevel="0" collapsed="false">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ustomFormat="false" ht="15.75" hidden="false" customHeight="true" outlineLevel="0" collapsed="false">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ustomFormat="false" ht="15.75" hidden="false" customHeight="true" outlineLevel="0" collapsed="false">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ustomFormat="false" ht="15.75" hidden="false" customHeight="true" outlineLevel="0" collapsed="false">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ustomFormat="false" ht="15.75" hidden="false" customHeight="true" outlineLevel="0" collapsed="false">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ustomFormat="false" ht="15.75" hidden="false" customHeight="true" outlineLevel="0" collapsed="false">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ustomFormat="false" ht="15.75" hidden="false" customHeight="true" outlineLevel="0" collapsed="false">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ustomFormat="false" ht="15.75" hidden="false" customHeight="true" outlineLevel="0" collapsed="false">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ustomFormat="false" ht="15.75" hidden="false" customHeight="true" outlineLevel="0" collapsed="false">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ustomFormat="false" ht="15.75" hidden="false" customHeight="true" outlineLevel="0" collapsed="false">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ustomFormat="false" ht="15.75" hidden="false" customHeight="true" outlineLevel="0" collapsed="false">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ustomFormat="false" ht="15.75" hidden="false" customHeight="true" outlineLevel="0" collapsed="false">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ustomFormat="false" ht="15.75" hidden="false" customHeight="true" outlineLevel="0" collapsed="false">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ustomFormat="false" ht="15.75" hidden="false" customHeight="true" outlineLevel="0" collapsed="false">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ustomFormat="false" ht="15.75" hidden="false" customHeight="true" outlineLevel="0" collapsed="false">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ustomFormat="false" ht="15.75" hidden="false" customHeight="true" outlineLevel="0" collapsed="false">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ustomFormat="false" ht="15.75" hidden="false" customHeight="true" outlineLevel="0" collapsed="false">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ustomFormat="false" ht="15.75" hidden="false" customHeight="true" outlineLevel="0" collapsed="false">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ustomFormat="false" ht="15.75" hidden="false" customHeight="true" outlineLevel="0" collapsed="false">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ustomFormat="false" ht="15.75" hidden="false" customHeight="true" outlineLevel="0" collapsed="false">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ustomFormat="false" ht="15.75" hidden="false" customHeight="true" outlineLevel="0" collapsed="false">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ustomFormat="false" ht="15.75" hidden="false" customHeight="true" outlineLevel="0" collapsed="false">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ustomFormat="false" ht="15.75" hidden="false" customHeight="true" outlineLevel="0" collapsed="false">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ustomFormat="false" ht="15.75" hidden="false" customHeight="true" outlineLevel="0" collapsed="false">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ustomFormat="false" ht="15.75" hidden="false" customHeight="true" outlineLevel="0" collapsed="false">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ustomFormat="false" ht="15.75" hidden="false" customHeight="true" outlineLevel="0" collapsed="false">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ustomFormat="false" ht="15.75" hidden="false" customHeight="true" outlineLevel="0" collapsed="false">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ustomFormat="false" ht="15.75" hidden="false" customHeight="true" outlineLevel="0" collapsed="false">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ustomFormat="false" ht="15.75" hidden="false" customHeight="true" outlineLevel="0" collapsed="false">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ustomFormat="false" ht="15.75" hidden="false" customHeight="true" outlineLevel="0" collapsed="false">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ustomFormat="false" ht="15.75" hidden="false" customHeight="true" outlineLevel="0" collapsed="false">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ustomFormat="false" ht="15.75" hidden="false" customHeight="true" outlineLevel="0" collapsed="false">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ustomFormat="false" ht="15.75" hidden="false" customHeight="true" outlineLevel="0" collapsed="false">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ustomFormat="false" ht="15.75" hidden="false" customHeight="true" outlineLevel="0" collapsed="false">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ustomFormat="false" ht="15.75" hidden="false" customHeight="true" outlineLevel="0" collapsed="false">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ustomFormat="false" ht="15.75" hidden="false" customHeight="true" outlineLevel="0" collapsed="false">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ustomFormat="false" ht="15.75" hidden="false" customHeight="true" outlineLevel="0" collapsed="false">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ustomFormat="false" ht="15.75" hidden="false" customHeight="true" outlineLevel="0" collapsed="false">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ustomFormat="false" ht="15.75" hidden="false" customHeight="true" outlineLevel="0" collapsed="false">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ustomFormat="false" ht="15.75" hidden="false" customHeight="true" outlineLevel="0" collapsed="false">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ustomFormat="false" ht="15.75" hidden="false" customHeight="true" outlineLevel="0" collapsed="false">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ustomFormat="false" ht="15.75" hidden="false" customHeight="true" outlineLevel="0" collapsed="false">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ustomFormat="false" ht="15.75" hidden="false" customHeight="true" outlineLevel="0" collapsed="false">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ustomFormat="false" ht="15.75" hidden="false" customHeight="true" outlineLevel="0" collapsed="false">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ustomFormat="false" ht="15.75" hidden="false" customHeight="true" outlineLevel="0" collapsed="false">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ustomFormat="false" ht="15.75" hidden="false" customHeight="true" outlineLevel="0" collapsed="false">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ustomFormat="false" ht="15.75" hidden="false" customHeight="true" outlineLevel="0" collapsed="false">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ustomFormat="false" ht="15.75" hidden="false" customHeight="true" outlineLevel="0" collapsed="false">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ustomFormat="false" ht="15.75" hidden="false" customHeight="true" outlineLevel="0" collapsed="false">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ustomFormat="false" ht="15.75" hidden="false" customHeight="true" outlineLevel="0" collapsed="false">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ustomFormat="false" ht="15.75" hidden="false" customHeight="true" outlineLevel="0" collapsed="false">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ustomFormat="false" ht="15.75" hidden="false" customHeight="true" outlineLevel="0" collapsed="false">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ustomFormat="false" ht="15.75" hidden="false" customHeight="true" outlineLevel="0" collapsed="false">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ustomFormat="false" ht="15.75" hidden="false" customHeight="true" outlineLevel="0" collapsed="false">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ustomFormat="false" ht="15.75" hidden="false" customHeight="true" outlineLevel="0" collapsed="false">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ustomFormat="false" ht="15.75" hidden="false" customHeight="true" outlineLevel="0" collapsed="false">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ustomFormat="false" ht="15.75" hidden="false" customHeight="true" outlineLevel="0" collapsed="false">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ustomFormat="false" ht="15.75" hidden="false" customHeight="true" outlineLevel="0" collapsed="false">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ustomFormat="false" ht="15.75" hidden="false" customHeight="true" outlineLevel="0" collapsed="false">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ustomFormat="false" ht="15.75" hidden="false" customHeight="true" outlineLevel="0" collapsed="false">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ustomFormat="false" ht="15.75" hidden="false" customHeight="true" outlineLevel="0" collapsed="false">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ustomFormat="false" ht="15.75" hidden="false" customHeight="true" outlineLevel="0" collapsed="false">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ustomFormat="false" ht="15.75" hidden="false" customHeight="true" outlineLevel="0" collapsed="false">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ustomFormat="false" ht="15.75" hidden="false" customHeight="true" outlineLevel="0" collapsed="false">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ustomFormat="false" ht="15.75" hidden="false" customHeight="true" outlineLevel="0" collapsed="false">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ustomFormat="false" ht="15.75" hidden="false" customHeight="true" outlineLevel="0" collapsed="false">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ustomFormat="false" ht="15.75" hidden="false" customHeight="true" outlineLevel="0" collapsed="false">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ustomFormat="false" ht="15.75" hidden="false" customHeight="true" outlineLevel="0" collapsed="false">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ustomFormat="false" ht="15.75" hidden="false" customHeight="true" outlineLevel="0" collapsed="false">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ustomFormat="false" ht="15.75" hidden="false" customHeight="true" outlineLevel="0" collapsed="false">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ustomFormat="false" ht="15.75" hidden="false" customHeight="true" outlineLevel="0" collapsed="false">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ustomFormat="false" ht="15.75" hidden="false" customHeight="true" outlineLevel="0" collapsed="false">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ustomFormat="false" ht="15.75" hidden="false" customHeight="true" outlineLevel="0" collapsed="false">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ustomFormat="false" ht="15.75" hidden="false" customHeight="true" outlineLevel="0" collapsed="false">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ustomFormat="false" ht="15.75" hidden="false" customHeight="true" outlineLevel="0" collapsed="false">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ustomFormat="false" ht="15.75" hidden="false" customHeight="true" outlineLevel="0" collapsed="false">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ustomFormat="false" ht="15.75" hidden="false" customHeight="true" outlineLevel="0" collapsed="false">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ustomFormat="false" ht="15.75" hidden="false" customHeight="true" outlineLevel="0" collapsed="false">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ustomFormat="false" ht="15.75" hidden="false" customHeight="true" outlineLevel="0" collapsed="false">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ustomFormat="false" ht="15.75" hidden="false" customHeight="true" outlineLevel="0" collapsed="false">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ustomFormat="false" ht="15.75" hidden="false" customHeight="true" outlineLevel="0" collapsed="false">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ustomFormat="false" ht="15.75" hidden="false" customHeight="true" outlineLevel="0" collapsed="false">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ustomFormat="false" ht="15.75" hidden="false" customHeight="true" outlineLevel="0" collapsed="false">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ustomFormat="false" ht="15.75" hidden="false" customHeight="true" outlineLevel="0" collapsed="false">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ustomFormat="false" ht="15.75" hidden="false" customHeight="true" outlineLevel="0" collapsed="false">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ustomFormat="false" ht="15.75" hidden="false" customHeight="true" outlineLevel="0" collapsed="false">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ustomFormat="false" ht="15.75" hidden="false" customHeight="true" outlineLevel="0" collapsed="false">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ustomFormat="false" ht="15.75" hidden="false" customHeight="true" outlineLevel="0" collapsed="false">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ustomFormat="false" ht="15.75" hidden="false" customHeight="true" outlineLevel="0" collapsed="false">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ustomFormat="false" ht="15.75" hidden="false" customHeight="true" outlineLevel="0" collapsed="false">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ustomFormat="false" ht="15.75" hidden="false" customHeight="true" outlineLevel="0" collapsed="false">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ustomFormat="false" ht="15.75" hidden="false" customHeight="true" outlineLevel="0" collapsed="false">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ustomFormat="false" ht="15.75" hidden="false" customHeight="true" outlineLevel="0" collapsed="false">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ustomFormat="false" ht="15.75" hidden="false" customHeight="true" outlineLevel="0" collapsed="false">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ustomFormat="false" ht="15.75" hidden="false" customHeight="true" outlineLevel="0" collapsed="false">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ustomFormat="false" ht="15.75" hidden="false" customHeight="true" outlineLevel="0" collapsed="false">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ustomFormat="false" ht="15.75" hidden="false" customHeight="true" outlineLevel="0" collapsed="false">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ustomFormat="false" ht="15.75" hidden="false" customHeight="true" outlineLevel="0" collapsed="false">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ustomFormat="false" ht="15.75" hidden="false" customHeight="true" outlineLevel="0" collapsed="false">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ustomFormat="false" ht="15.75" hidden="false" customHeight="true" outlineLevel="0" collapsed="false">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ustomFormat="false" ht="15.75" hidden="false" customHeight="true" outlineLevel="0" collapsed="false">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ustomFormat="false" ht="15.75" hidden="false" customHeight="true" outlineLevel="0" collapsed="false">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ustomFormat="false" ht="15.75" hidden="false" customHeight="true" outlineLevel="0" collapsed="false">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ustomFormat="false" ht="15.75" hidden="false" customHeight="true" outlineLevel="0" collapsed="false">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ustomFormat="false" ht="15.75" hidden="false" customHeight="true" outlineLevel="0" collapsed="false">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ustomFormat="false" ht="15.75" hidden="false" customHeight="true" outlineLevel="0" collapsed="false">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ustomFormat="false" ht="15.75" hidden="false" customHeight="true" outlineLevel="0" collapsed="false">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ustomFormat="false" ht="15.75" hidden="false" customHeight="true" outlineLevel="0" collapsed="false">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ustomFormat="false" ht="15.75" hidden="false" customHeight="true" outlineLevel="0" collapsed="false">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ustomFormat="false" ht="15.75" hidden="false" customHeight="true" outlineLevel="0" collapsed="false">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ustomFormat="false" ht="15.75" hidden="false" customHeight="true" outlineLevel="0" collapsed="false">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ustomFormat="false" ht="15.75" hidden="false" customHeight="true" outlineLevel="0" collapsed="false">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ustomFormat="false" ht="15.75" hidden="false" customHeight="true" outlineLevel="0" collapsed="false">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ustomFormat="false" ht="15.75" hidden="false" customHeight="true" outlineLevel="0" collapsed="false">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ustomFormat="false" ht="15.75" hidden="false" customHeight="true" outlineLevel="0" collapsed="false">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ustomFormat="false" ht="15.75" hidden="false" customHeight="true" outlineLevel="0" collapsed="false">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ustomFormat="false" ht="15.75" hidden="false" customHeight="true" outlineLevel="0" collapsed="false">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ustomFormat="false" ht="15.75" hidden="false" customHeight="true" outlineLevel="0" collapsed="false">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ustomFormat="false" ht="15.75" hidden="false" customHeight="true" outlineLevel="0" collapsed="false">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ustomFormat="false" ht="15.75" hidden="false" customHeight="true" outlineLevel="0" collapsed="false">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ustomFormat="false" ht="15.75" hidden="false" customHeight="true" outlineLevel="0" collapsed="false">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ustomFormat="false" ht="15.75" hidden="false" customHeight="true" outlineLevel="0" collapsed="false">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ustomFormat="false" ht="15.75" hidden="false" customHeight="true" outlineLevel="0" collapsed="false">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ustomFormat="false" ht="15.75" hidden="false" customHeight="true" outlineLevel="0" collapsed="false">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ustomFormat="false" ht="15.75" hidden="false" customHeight="true" outlineLevel="0" collapsed="false">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ustomFormat="false" ht="15.75" hidden="false" customHeight="true" outlineLevel="0" collapsed="false">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ustomFormat="false" ht="15.75" hidden="false" customHeight="true" outlineLevel="0" collapsed="false">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ustomFormat="false" ht="15.75" hidden="false" customHeight="true" outlineLevel="0" collapsed="false">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ustomFormat="false" ht="15.75" hidden="false" customHeight="true" outlineLevel="0" collapsed="false">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ustomFormat="false" ht="15.75" hidden="false" customHeight="true" outlineLevel="0" collapsed="false">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ustomFormat="false" ht="15.75" hidden="false" customHeight="true" outlineLevel="0" collapsed="false">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ustomFormat="false" ht="15.75" hidden="false" customHeight="true" outlineLevel="0" collapsed="false">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ustomFormat="false" ht="15.75" hidden="false" customHeight="true" outlineLevel="0" collapsed="false">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ustomFormat="false" ht="15.75" hidden="false" customHeight="true" outlineLevel="0" collapsed="false">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ustomFormat="false" ht="15.75" hidden="false" customHeight="true" outlineLevel="0" collapsed="false">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ustomFormat="false" ht="15.75" hidden="false" customHeight="true" outlineLevel="0" collapsed="false">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ustomFormat="false" ht="15.75" hidden="false" customHeight="true" outlineLevel="0" collapsed="false">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ustomFormat="false" ht="15.75" hidden="false" customHeight="true" outlineLevel="0" collapsed="false">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ustomFormat="false" ht="15.75" hidden="false" customHeight="true" outlineLevel="0" collapsed="false">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ustomFormat="false" ht="15.75" hidden="false" customHeight="true" outlineLevel="0" collapsed="false">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ustomFormat="false" ht="15.75" hidden="false" customHeight="true" outlineLevel="0" collapsed="false">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ustomFormat="false" ht="15.75" hidden="false" customHeight="true" outlineLevel="0" collapsed="false">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ustomFormat="false" ht="15.75" hidden="false" customHeight="true" outlineLevel="0" collapsed="false">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ustomFormat="false" ht="15.75" hidden="false" customHeight="true" outlineLevel="0" collapsed="false">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ustomFormat="false" ht="15.75" hidden="false" customHeight="true" outlineLevel="0" collapsed="false">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ustomFormat="false" ht="15.75" hidden="false" customHeight="true" outlineLevel="0" collapsed="false">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ustomFormat="false" ht="15.75" hidden="false" customHeight="true" outlineLevel="0" collapsed="false">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ustomFormat="false" ht="15.75" hidden="false" customHeight="true" outlineLevel="0" collapsed="false">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ustomFormat="false" ht="15.75" hidden="false" customHeight="true" outlineLevel="0" collapsed="false">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ustomFormat="false" ht="15.75" hidden="false" customHeight="true" outlineLevel="0" collapsed="false">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ustomFormat="false" ht="15.75" hidden="false" customHeight="true" outlineLevel="0" collapsed="false">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ustomFormat="false" ht="15.75" hidden="false" customHeight="true" outlineLevel="0" collapsed="false">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ustomFormat="false" ht="15.75" hidden="false" customHeight="true" outlineLevel="0" collapsed="false">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ustomFormat="false" ht="15.75" hidden="false" customHeight="true" outlineLevel="0" collapsed="false">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ustomFormat="false" ht="15.75" hidden="false" customHeight="true" outlineLevel="0" collapsed="false">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ustomFormat="false" ht="15.75" hidden="false" customHeight="true" outlineLevel="0" collapsed="false">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ustomFormat="false" ht="15.75" hidden="false" customHeight="true" outlineLevel="0" collapsed="false">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ustomFormat="false" ht="15.75" hidden="false" customHeight="true" outlineLevel="0" collapsed="false">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ustomFormat="false" ht="15.75" hidden="false" customHeight="true" outlineLevel="0" collapsed="false">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ustomFormat="false" ht="15.75" hidden="false" customHeight="true" outlineLevel="0" collapsed="false">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ustomFormat="false" ht="15.75" hidden="false" customHeight="true" outlineLevel="0" collapsed="false">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ustomFormat="false" ht="15.75" hidden="false" customHeight="true" outlineLevel="0" collapsed="false">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ustomFormat="false" ht="15.75" hidden="false" customHeight="true" outlineLevel="0" collapsed="false">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ustomFormat="false" ht="15.75" hidden="false" customHeight="true" outlineLevel="0" collapsed="false">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ustomFormat="false" ht="15.75" hidden="false" customHeight="true" outlineLevel="0" collapsed="false">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ustomFormat="false" ht="15.75" hidden="false" customHeight="true" outlineLevel="0" collapsed="false">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ustomFormat="false" ht="15.75" hidden="false" customHeight="true" outlineLevel="0" collapsed="false">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ustomFormat="false" ht="15.75" hidden="false" customHeight="true" outlineLevel="0" collapsed="false">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ustomFormat="false" ht="15.75" hidden="false" customHeight="true" outlineLevel="0" collapsed="false">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ustomFormat="false" ht="15.75" hidden="false" customHeight="true" outlineLevel="0" collapsed="false">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ustomFormat="false" ht="15.75" hidden="false" customHeight="true" outlineLevel="0" collapsed="false">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ustomFormat="false" ht="15.75" hidden="false" customHeight="true" outlineLevel="0" collapsed="false">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ustomFormat="false" ht="15.75" hidden="false" customHeight="true" outlineLevel="0" collapsed="false">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ustomFormat="false" ht="15.75" hidden="false" customHeight="true" outlineLevel="0" collapsed="false">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ustomFormat="false" ht="15.75" hidden="false" customHeight="true" outlineLevel="0" collapsed="false">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ustomFormat="false" ht="15.75" hidden="false" customHeight="true" outlineLevel="0" collapsed="false">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ustomFormat="false" ht="15.75" hidden="false" customHeight="true" outlineLevel="0" collapsed="false">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ustomFormat="false" ht="15.75" hidden="false" customHeight="true" outlineLevel="0" collapsed="false">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ustomFormat="false" ht="15.75" hidden="false" customHeight="true" outlineLevel="0" collapsed="false">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ustomFormat="false" ht="15.75" hidden="false" customHeight="true" outlineLevel="0" collapsed="false">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ustomFormat="false" ht="15.75" hidden="false" customHeight="true" outlineLevel="0" collapsed="false">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ustomFormat="false" ht="15.75" hidden="false" customHeight="true" outlineLevel="0" collapsed="false">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ustomFormat="false" ht="15.75" hidden="false" customHeight="true" outlineLevel="0" collapsed="false">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ustomFormat="false" ht="15.75" hidden="false" customHeight="true" outlineLevel="0" collapsed="false">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ustomFormat="false" ht="15.75" hidden="false" customHeight="true" outlineLevel="0" collapsed="false">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ustomFormat="false" ht="15.75" hidden="false" customHeight="true" outlineLevel="0" collapsed="false">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ustomFormat="false" ht="15.75" hidden="false" customHeight="true" outlineLevel="0" collapsed="false">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ustomFormat="false" ht="15.75" hidden="false" customHeight="true" outlineLevel="0" collapsed="false">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ustomFormat="false" ht="15.75" hidden="false" customHeight="true" outlineLevel="0" collapsed="false">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ustomFormat="false" ht="15.75" hidden="false" customHeight="true" outlineLevel="0" collapsed="false">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ustomFormat="false" ht="15.75" hidden="false" customHeight="true" outlineLevel="0" collapsed="false">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ustomFormat="false" ht="15.75" hidden="false" customHeight="true" outlineLevel="0" collapsed="false">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ustomFormat="false" ht="15.75" hidden="false" customHeight="true" outlineLevel="0" collapsed="false">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ustomFormat="false" ht="15.75" hidden="false" customHeight="true" outlineLevel="0" collapsed="false">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ustomFormat="false" ht="15.75" hidden="false" customHeight="true" outlineLevel="0" collapsed="false">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ustomFormat="false" ht="15.75" hidden="false" customHeight="true" outlineLevel="0" collapsed="false">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ustomFormat="false" ht="15.75" hidden="false" customHeight="true" outlineLevel="0" collapsed="false">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ustomFormat="false" ht="15.75" hidden="false" customHeight="true" outlineLevel="0" collapsed="false">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ustomFormat="false" ht="15.75" hidden="false" customHeight="true" outlineLevel="0" collapsed="false">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ustomFormat="false" ht="15.75" hidden="false" customHeight="true" outlineLevel="0" collapsed="false">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ustomFormat="false" ht="15.75" hidden="false" customHeight="true" outlineLevel="0" collapsed="false">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ustomFormat="false" ht="15.75" hidden="false" customHeight="true" outlineLevel="0" collapsed="false">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ustomFormat="false" ht="15.75" hidden="false" customHeight="true" outlineLevel="0" collapsed="false">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ustomFormat="false" ht="15.75" hidden="false" customHeight="true" outlineLevel="0" collapsed="false">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ustomFormat="false" ht="15.75" hidden="false" customHeight="true" outlineLevel="0" collapsed="false">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ustomFormat="false" ht="15.75" hidden="false" customHeight="true" outlineLevel="0" collapsed="false">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ustomFormat="false" ht="15.75" hidden="false" customHeight="true" outlineLevel="0" collapsed="false">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ustomFormat="false" ht="15.75" hidden="false" customHeight="true" outlineLevel="0" collapsed="false">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ustomFormat="false" ht="15.75" hidden="false" customHeight="true" outlineLevel="0" collapsed="false">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ustomFormat="false" ht="15.75" hidden="false" customHeight="true" outlineLevel="0" collapsed="false">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ustomFormat="false" ht="15.75" hidden="false" customHeight="true" outlineLevel="0" collapsed="false">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ustomFormat="false" ht="15.75" hidden="false" customHeight="true" outlineLevel="0" collapsed="false">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ustomFormat="false" ht="15.75" hidden="false" customHeight="true" outlineLevel="0" collapsed="false">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ustomFormat="false" ht="15.75" hidden="false" customHeight="true" outlineLevel="0" collapsed="false">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ustomFormat="false" ht="15.75" hidden="false" customHeight="true" outlineLevel="0" collapsed="false">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ustomFormat="false" ht="15.75" hidden="false" customHeight="true" outlineLevel="0" collapsed="false">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ustomFormat="false" ht="15.75" hidden="false" customHeight="true" outlineLevel="0" collapsed="false">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ustomFormat="false" ht="15.75" hidden="false" customHeight="true" outlineLevel="0" collapsed="false">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ustomFormat="false" ht="15.75" hidden="false" customHeight="true" outlineLevel="0" collapsed="false">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ustomFormat="false" ht="15.75" hidden="false" customHeight="true" outlineLevel="0" collapsed="false">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ustomFormat="false" ht="15.75" hidden="false" customHeight="true" outlineLevel="0" collapsed="false">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ustomFormat="false" ht="15.75" hidden="false" customHeight="true" outlineLevel="0" collapsed="false">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ustomFormat="false" ht="15.75" hidden="false" customHeight="true" outlineLevel="0" collapsed="false">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ustomFormat="false" ht="15.75" hidden="false" customHeight="true" outlineLevel="0" collapsed="false">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ustomFormat="false" ht="15.75" hidden="false" customHeight="true" outlineLevel="0" collapsed="false">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ustomFormat="false" ht="15.75" hidden="false" customHeight="true" outlineLevel="0" collapsed="false">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ustomFormat="false" ht="15.75" hidden="false" customHeight="true" outlineLevel="0" collapsed="false">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ustomFormat="false" ht="15.75" hidden="false" customHeight="true" outlineLevel="0" collapsed="false">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ustomFormat="false" ht="15.75" hidden="false" customHeight="true" outlineLevel="0" collapsed="false">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ustomFormat="false" ht="15.75" hidden="false" customHeight="true" outlineLevel="0" collapsed="false">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ustomFormat="false" ht="15.75" hidden="false" customHeight="true" outlineLevel="0" collapsed="false">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ustomFormat="false" ht="15.75" hidden="false" customHeight="true" outlineLevel="0" collapsed="false">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ustomFormat="false" ht="15.75" hidden="false" customHeight="true" outlineLevel="0" collapsed="false">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ustomFormat="false" ht="15.75" hidden="false" customHeight="true" outlineLevel="0" collapsed="false">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ustomFormat="false" ht="15.75" hidden="false" customHeight="true" outlineLevel="0" collapsed="false">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ustomFormat="false" ht="15.75" hidden="false" customHeight="true" outlineLevel="0" collapsed="false">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ustomFormat="false" ht="15.75" hidden="false" customHeight="true" outlineLevel="0" collapsed="false">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ustomFormat="false" ht="15.75" hidden="false" customHeight="true" outlineLevel="0" collapsed="false">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ustomFormat="false" ht="15.75" hidden="false" customHeight="true" outlineLevel="0" collapsed="false">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ustomFormat="false" ht="15.75" hidden="false" customHeight="true" outlineLevel="0" collapsed="false">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ustomFormat="false" ht="15.75" hidden="false" customHeight="true" outlineLevel="0" collapsed="false">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ustomFormat="false" ht="15.75" hidden="false" customHeight="true" outlineLevel="0" collapsed="false">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ustomFormat="false" ht="15.75" hidden="false" customHeight="true" outlineLevel="0" collapsed="false">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ustomFormat="false" ht="15.75" hidden="false" customHeight="true" outlineLevel="0" collapsed="false">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ustomFormat="false" ht="15.75" hidden="false" customHeight="true" outlineLevel="0" collapsed="false">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ustomFormat="false" ht="15.75" hidden="false" customHeight="true" outlineLevel="0" collapsed="false">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ustomFormat="false" ht="15.75" hidden="false" customHeight="true" outlineLevel="0" collapsed="false">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ustomFormat="false" ht="15.75" hidden="false" customHeight="true" outlineLevel="0" collapsed="false">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ustomFormat="false" ht="15.75" hidden="false" customHeight="true" outlineLevel="0" collapsed="false">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ustomFormat="false" ht="15.75" hidden="false" customHeight="true" outlineLevel="0" collapsed="false">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ustomFormat="false" ht="15.75" hidden="false" customHeight="true" outlineLevel="0" collapsed="false">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ustomFormat="false" ht="15.75" hidden="false" customHeight="true" outlineLevel="0" collapsed="false">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ustomFormat="false" ht="15.75" hidden="false" customHeight="true" outlineLevel="0" collapsed="false">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ustomFormat="false" ht="15.75" hidden="false" customHeight="true" outlineLevel="0" collapsed="false">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ustomFormat="false" ht="15.75" hidden="false" customHeight="true" outlineLevel="0" collapsed="false">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ustomFormat="false" ht="15.75" hidden="false" customHeight="true" outlineLevel="0" collapsed="false">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ustomFormat="false" ht="15.75" hidden="false" customHeight="true" outlineLevel="0" collapsed="false">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ustomFormat="false" ht="15.75" hidden="false" customHeight="true" outlineLevel="0" collapsed="false">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ustomFormat="false" ht="15.75" hidden="false" customHeight="true" outlineLevel="0" collapsed="false">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ustomFormat="false" ht="15.75" hidden="false" customHeight="true" outlineLevel="0" collapsed="false">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ustomFormat="false" ht="15.75" hidden="false" customHeight="true" outlineLevel="0" collapsed="false">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ustomFormat="false" ht="15.75" hidden="false" customHeight="true" outlineLevel="0" collapsed="false">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ustomFormat="false" ht="15.75" hidden="false" customHeight="true" outlineLevel="0" collapsed="false">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ustomFormat="false" ht="15.75" hidden="false" customHeight="true" outlineLevel="0" collapsed="false">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ustomFormat="false" ht="15.75" hidden="false" customHeight="true" outlineLevel="0" collapsed="false">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ustomFormat="false" ht="15.75" hidden="false" customHeight="true" outlineLevel="0" collapsed="false">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ustomFormat="false" ht="15.75" hidden="false" customHeight="true" outlineLevel="0" collapsed="false">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ustomFormat="false" ht="15.75" hidden="false" customHeight="true" outlineLevel="0" collapsed="false">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ustomFormat="false" ht="15.75" hidden="false" customHeight="true" outlineLevel="0" collapsed="false">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ustomFormat="false" ht="15.75" hidden="false" customHeight="true" outlineLevel="0" collapsed="false">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ustomFormat="false" ht="15.75" hidden="false" customHeight="true" outlineLevel="0" collapsed="false">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ustomFormat="false" ht="15.75" hidden="false" customHeight="true" outlineLevel="0" collapsed="false">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ustomFormat="false" ht="15.75" hidden="false" customHeight="true" outlineLevel="0" collapsed="false">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ustomFormat="false" ht="15.75" hidden="false" customHeight="true" outlineLevel="0" collapsed="false">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ustomFormat="false" ht="15.75" hidden="false" customHeight="true" outlineLevel="0" collapsed="false">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ustomFormat="false" ht="15.75" hidden="false" customHeight="true" outlineLevel="0" collapsed="false">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ustomFormat="false" ht="15.75" hidden="false" customHeight="true" outlineLevel="0" collapsed="false">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ustomFormat="false" ht="15.75" hidden="false" customHeight="true" outlineLevel="0" collapsed="false">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ustomFormat="false" ht="15.75" hidden="false" customHeight="true" outlineLevel="0" collapsed="false">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ustomFormat="false" ht="15.75" hidden="false" customHeight="true" outlineLevel="0" collapsed="false">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ustomFormat="false" ht="15.75" hidden="false" customHeight="true" outlineLevel="0" collapsed="false">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ustomFormat="false" ht="15.75" hidden="false" customHeight="true" outlineLevel="0" collapsed="false">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ustomFormat="false" ht="15.75" hidden="false" customHeight="true" outlineLevel="0" collapsed="false">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ustomFormat="false" ht="15.75" hidden="false" customHeight="true" outlineLevel="0" collapsed="false">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ustomFormat="false" ht="15.75" hidden="false" customHeight="true" outlineLevel="0" collapsed="false">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ustomFormat="false" ht="15.75" hidden="false" customHeight="true" outlineLevel="0" collapsed="false">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ustomFormat="false" ht="15.75" hidden="false" customHeight="true" outlineLevel="0" collapsed="false">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ustomFormat="false" ht="15.75" hidden="false" customHeight="true" outlineLevel="0" collapsed="false">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ustomFormat="false" ht="15.75" hidden="false" customHeight="true" outlineLevel="0" collapsed="false">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ustomFormat="false" ht="15.75" hidden="false" customHeight="true" outlineLevel="0" collapsed="false">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ustomFormat="false" ht="15.75" hidden="false" customHeight="true" outlineLevel="0" collapsed="false">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ustomFormat="false" ht="15.75" hidden="false" customHeight="true" outlineLevel="0" collapsed="false">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ustomFormat="false" ht="15.75" hidden="false" customHeight="true" outlineLevel="0" collapsed="false">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ustomFormat="false" ht="15.75" hidden="false" customHeight="true" outlineLevel="0" collapsed="false">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ustomFormat="false" ht="15.75" hidden="false" customHeight="true" outlineLevel="0" collapsed="false">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ustomFormat="false" ht="15.75" hidden="false" customHeight="true" outlineLevel="0" collapsed="false">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ustomFormat="false" ht="15.75" hidden="false" customHeight="true" outlineLevel="0" collapsed="false">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ustomFormat="false" ht="15.75" hidden="false" customHeight="true" outlineLevel="0" collapsed="false">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ustomFormat="false" ht="15.75" hidden="false" customHeight="true" outlineLevel="0" collapsed="false">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ustomFormat="false" ht="15.75" hidden="false" customHeight="true" outlineLevel="0" collapsed="false">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ustomFormat="false" ht="15.75" hidden="false" customHeight="true" outlineLevel="0" collapsed="false">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ustomFormat="false" ht="15.75" hidden="false" customHeight="true" outlineLevel="0" collapsed="false">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ustomFormat="false" ht="15.75" hidden="false" customHeight="true" outlineLevel="0" collapsed="false">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ustomFormat="false" ht="15.75" hidden="false" customHeight="true" outlineLevel="0" collapsed="false">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ustomFormat="false" ht="15.75" hidden="false" customHeight="true" outlineLevel="0" collapsed="false">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ustomFormat="false" ht="15.75" hidden="false" customHeight="true" outlineLevel="0" collapsed="false">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ustomFormat="false" ht="15.75" hidden="false" customHeight="true" outlineLevel="0" collapsed="false">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ustomFormat="false" ht="15.75" hidden="false" customHeight="true" outlineLevel="0" collapsed="false">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ustomFormat="false" ht="15.75" hidden="false" customHeight="true" outlineLevel="0" collapsed="false">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ustomFormat="false" ht="15.75" hidden="false" customHeight="true" outlineLevel="0" collapsed="false">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ustomFormat="false" ht="15.75" hidden="false" customHeight="true" outlineLevel="0" collapsed="false">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ustomFormat="false" ht="15.75" hidden="false" customHeight="true" outlineLevel="0" collapsed="false">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ustomFormat="false" ht="15.75" hidden="false" customHeight="true" outlineLevel="0" collapsed="false">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ustomFormat="false" ht="15.75" hidden="false" customHeight="true" outlineLevel="0" collapsed="false">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ustomFormat="false" ht="15.75" hidden="false" customHeight="true" outlineLevel="0" collapsed="false">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ustomFormat="false" ht="15.75" hidden="false" customHeight="true" outlineLevel="0" collapsed="false">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ustomFormat="false" ht="15.75" hidden="false" customHeight="true" outlineLevel="0" collapsed="false">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ustomFormat="false" ht="15.75" hidden="false" customHeight="true" outlineLevel="0" collapsed="false">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ustomFormat="false" ht="15.75" hidden="false" customHeight="true" outlineLevel="0" collapsed="false">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ustomFormat="false" ht="15.75" hidden="false" customHeight="true" outlineLevel="0" collapsed="false">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ustomFormat="false" ht="15.75" hidden="false" customHeight="true" outlineLevel="0" collapsed="false">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ustomFormat="false" ht="15.75" hidden="false" customHeight="true" outlineLevel="0" collapsed="false">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ustomFormat="false" ht="15.75" hidden="false" customHeight="true" outlineLevel="0" collapsed="false">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ustomFormat="false" ht="15.75" hidden="false" customHeight="true" outlineLevel="0" collapsed="false">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ustomFormat="false" ht="15.75" hidden="false" customHeight="true" outlineLevel="0" collapsed="false">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ustomFormat="false" ht="15.75" hidden="false" customHeight="true" outlineLevel="0" collapsed="false">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ustomFormat="false" ht="15.75" hidden="false" customHeight="true" outlineLevel="0" collapsed="false">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ustomFormat="false" ht="15.75" hidden="false" customHeight="true" outlineLevel="0" collapsed="false">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ustomFormat="false" ht="15.75" hidden="false" customHeight="true" outlineLevel="0" collapsed="false">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ustomFormat="false" ht="15.75" hidden="false" customHeight="true" outlineLevel="0" collapsed="false">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ustomFormat="false" ht="15.75" hidden="false" customHeight="true" outlineLevel="0" collapsed="false">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ustomFormat="false" ht="15.75" hidden="false" customHeight="true" outlineLevel="0" collapsed="false">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ustomFormat="false" ht="15.75" hidden="false" customHeight="true" outlineLevel="0" collapsed="false">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ustomFormat="false" ht="15.75" hidden="false" customHeight="true" outlineLevel="0" collapsed="false">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ustomFormat="false" ht="15.75" hidden="false" customHeight="true" outlineLevel="0" collapsed="false">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ustomFormat="false" ht="15.75" hidden="false" customHeight="true" outlineLevel="0" collapsed="false">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ustomFormat="false" ht="15.75" hidden="false" customHeight="true" outlineLevel="0" collapsed="false">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ustomFormat="false" ht="15.75" hidden="false" customHeight="true" outlineLevel="0" collapsed="false">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ustomFormat="false" ht="15.75" hidden="false" customHeight="true" outlineLevel="0" collapsed="false">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ustomFormat="false" ht="15.75" hidden="false" customHeight="true" outlineLevel="0" collapsed="false">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ustomFormat="false" ht="15.75" hidden="false" customHeight="true" outlineLevel="0" collapsed="false">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ustomFormat="false" ht="15.75" hidden="false" customHeight="true" outlineLevel="0" collapsed="false">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ustomFormat="false" ht="15.75" hidden="false" customHeight="true" outlineLevel="0" collapsed="false">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ustomFormat="false" ht="15.75" hidden="false" customHeight="true" outlineLevel="0" collapsed="false">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ustomFormat="false" ht="15.75" hidden="false" customHeight="true" outlineLevel="0" collapsed="false">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ustomFormat="false" ht="15.75" hidden="false" customHeight="true" outlineLevel="0" collapsed="false">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ustomFormat="false" ht="15.75" hidden="false" customHeight="true" outlineLevel="0" collapsed="false">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ustomFormat="false" ht="15.75" hidden="false" customHeight="true" outlineLevel="0" collapsed="false">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ustomFormat="false" ht="15.75" hidden="false" customHeight="true" outlineLevel="0" collapsed="false">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ustomFormat="false" ht="15.75" hidden="false" customHeight="true" outlineLevel="0" collapsed="false">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ustomFormat="false" ht="15.75" hidden="false" customHeight="true" outlineLevel="0" collapsed="false">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ustomFormat="false" ht="15.75" hidden="false" customHeight="true" outlineLevel="0" collapsed="false">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ustomFormat="false" ht="15.75" hidden="false" customHeight="true" outlineLevel="0" collapsed="false">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ustomFormat="false" ht="15.75" hidden="false" customHeight="true" outlineLevel="0" collapsed="false">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ustomFormat="false" ht="15.75" hidden="false" customHeight="true" outlineLevel="0" collapsed="false">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ustomFormat="false" ht="15.75" hidden="false" customHeight="true" outlineLevel="0" collapsed="false">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ustomFormat="false" ht="15.75" hidden="false" customHeight="true" outlineLevel="0" collapsed="false">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ustomFormat="false" ht="15.75" hidden="false" customHeight="true" outlineLevel="0" collapsed="false">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ustomFormat="false" ht="15.75" hidden="false" customHeight="true" outlineLevel="0" collapsed="false">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ustomFormat="false" ht="15.75" hidden="false" customHeight="true" outlineLevel="0" collapsed="false">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ustomFormat="false" ht="15.75" hidden="false" customHeight="true" outlineLevel="0" collapsed="false">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ustomFormat="false" ht="15.75" hidden="false" customHeight="true" outlineLevel="0" collapsed="false">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ustomFormat="false" ht="15.75" hidden="false" customHeight="true" outlineLevel="0" collapsed="false">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ustomFormat="false" ht="15.75" hidden="false" customHeight="true" outlineLevel="0" collapsed="false">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ustomFormat="false" ht="15.75" hidden="false" customHeight="true" outlineLevel="0" collapsed="false">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ustomFormat="false" ht="15.75" hidden="false" customHeight="true" outlineLevel="0" collapsed="false">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ustomFormat="false" ht="15.75" hidden="false" customHeight="true" outlineLevel="0" collapsed="false">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ustomFormat="false" ht="15.75" hidden="false" customHeight="true" outlineLevel="0" collapsed="false">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ustomFormat="false" ht="15.75" hidden="false" customHeight="true" outlineLevel="0" collapsed="false">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ustomFormat="false" ht="15.75" hidden="false" customHeight="true" outlineLevel="0" collapsed="false">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ustomFormat="false" ht="15.75" hidden="false" customHeight="true" outlineLevel="0" collapsed="false">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ustomFormat="false" ht="15.75" hidden="false" customHeight="true" outlineLevel="0" collapsed="false">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ustomFormat="false" ht="15.75" hidden="false" customHeight="true" outlineLevel="0" collapsed="false">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ustomFormat="false" ht="15.75" hidden="false" customHeight="true" outlineLevel="0" collapsed="false">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ustomFormat="false" ht="15.75" hidden="false" customHeight="true" outlineLevel="0" collapsed="false">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ustomFormat="false" ht="15.75" hidden="false" customHeight="true" outlineLevel="0" collapsed="false">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ustomFormat="false" ht="15.75" hidden="false" customHeight="true" outlineLevel="0" collapsed="false">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ustomFormat="false" ht="15.75" hidden="false" customHeight="true" outlineLevel="0" collapsed="false">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ustomFormat="false" ht="15.75" hidden="false" customHeight="true" outlineLevel="0" collapsed="false">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ustomFormat="false" ht="15.75" hidden="false" customHeight="true" outlineLevel="0" collapsed="false">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ustomFormat="false" ht="15.75" hidden="false" customHeight="true" outlineLevel="0" collapsed="false">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ustomFormat="false" ht="15.75" hidden="false" customHeight="true" outlineLevel="0" collapsed="false">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ustomFormat="false" ht="15.75" hidden="false" customHeight="true" outlineLevel="0" collapsed="false">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ustomFormat="false" ht="15.75" hidden="false" customHeight="true" outlineLevel="0" collapsed="false">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ustomFormat="false" ht="15.75" hidden="false" customHeight="true" outlineLevel="0" collapsed="false">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ustomFormat="false" ht="15.75" hidden="false" customHeight="true" outlineLevel="0" collapsed="false">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ustomFormat="false" ht="15.75" hidden="false" customHeight="true" outlineLevel="0" collapsed="false">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ustomFormat="false" ht="15.75" hidden="false" customHeight="true" outlineLevel="0" collapsed="false">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ustomFormat="false" ht="15.75" hidden="false" customHeight="true" outlineLevel="0" collapsed="false">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ustomFormat="false" ht="15.75" hidden="false" customHeight="true" outlineLevel="0" collapsed="false">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ustomFormat="false" ht="15.75" hidden="false" customHeight="true" outlineLevel="0" collapsed="false">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ustomFormat="false" ht="15.75" hidden="false" customHeight="true" outlineLevel="0" collapsed="false">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ustomFormat="false" ht="15.75" hidden="false" customHeight="true" outlineLevel="0" collapsed="false">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ustomFormat="false" ht="15.75" hidden="false" customHeight="true" outlineLevel="0" collapsed="false">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ustomFormat="false" ht="15.75" hidden="false" customHeight="true" outlineLevel="0" collapsed="false">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ustomFormat="false" ht="15.75" hidden="false" customHeight="true" outlineLevel="0" collapsed="false">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ustomFormat="false" ht="15.75" hidden="false" customHeight="true" outlineLevel="0" collapsed="false">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ustomFormat="false" ht="15.75" hidden="false" customHeight="true" outlineLevel="0" collapsed="false">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ustomFormat="false" ht="15.75" hidden="false" customHeight="true" outlineLevel="0" collapsed="false">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ustomFormat="false" ht="15.75" hidden="false" customHeight="true" outlineLevel="0" collapsed="false">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ustomFormat="false" ht="15.75" hidden="false" customHeight="true" outlineLevel="0" collapsed="false">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ustomFormat="false" ht="15.75" hidden="false" customHeight="true" outlineLevel="0" collapsed="false">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ustomFormat="false" ht="15.75" hidden="false" customHeight="true" outlineLevel="0" collapsed="false">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ustomFormat="false" ht="15.75" hidden="false" customHeight="true" outlineLevel="0" collapsed="false">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ustomFormat="false" ht="15.75" hidden="false" customHeight="true" outlineLevel="0" collapsed="false">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ustomFormat="false" ht="15.75" hidden="false" customHeight="true" outlineLevel="0" collapsed="false">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ustomFormat="false" ht="15.75" hidden="false" customHeight="true" outlineLevel="0" collapsed="false">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ustomFormat="false" ht="15.75" hidden="false" customHeight="true" outlineLevel="0" collapsed="false">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ustomFormat="false" ht="15.75" hidden="false" customHeight="true" outlineLevel="0" collapsed="false">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ustomFormat="false" ht="15.75" hidden="false" customHeight="true" outlineLevel="0" collapsed="false">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ustomFormat="false" ht="15.75" hidden="false" customHeight="true" outlineLevel="0" collapsed="false">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ustomFormat="false" ht="15.75" hidden="false" customHeight="true" outlineLevel="0" collapsed="false">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ustomFormat="false" ht="15.75" hidden="false" customHeight="true" outlineLevel="0" collapsed="false">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ustomFormat="false" ht="15.75" hidden="false" customHeight="true" outlineLevel="0" collapsed="false">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ustomFormat="false" ht="15.75" hidden="false" customHeight="true" outlineLevel="0" collapsed="false">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ustomFormat="false" ht="15.75" hidden="false" customHeight="true" outlineLevel="0" collapsed="false">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ustomFormat="false" ht="15.75" hidden="false" customHeight="true" outlineLevel="0" collapsed="false">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ustomFormat="false" ht="15.75" hidden="false" customHeight="true" outlineLevel="0" collapsed="false">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ustomFormat="false" ht="15.75" hidden="false" customHeight="true" outlineLevel="0" collapsed="false">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ustomFormat="false" ht="15.75" hidden="false" customHeight="true" outlineLevel="0" collapsed="false">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ustomFormat="false" ht="15.75" hidden="false" customHeight="true" outlineLevel="0" collapsed="false">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ustomFormat="false" ht="15.75" hidden="false" customHeight="true" outlineLevel="0" collapsed="false">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ustomFormat="false" ht="15.75" hidden="false" customHeight="true" outlineLevel="0" collapsed="false">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ustomFormat="false" ht="15.75" hidden="false" customHeight="true" outlineLevel="0" collapsed="false">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ustomFormat="false" ht="15.75" hidden="false" customHeight="true" outlineLevel="0" collapsed="false">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ustomFormat="false" ht="15.75" hidden="false" customHeight="true" outlineLevel="0" collapsed="false">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ustomFormat="false" ht="15.75" hidden="false" customHeight="true" outlineLevel="0" collapsed="false">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ustomFormat="false" ht="15.75" hidden="false" customHeight="true" outlineLevel="0" collapsed="false">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ustomFormat="false" ht="15.75" hidden="false" customHeight="true" outlineLevel="0" collapsed="false">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ustomFormat="false" ht="15.75" hidden="false" customHeight="true" outlineLevel="0" collapsed="false">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ustomFormat="false" ht="15.75" hidden="false" customHeight="true" outlineLevel="0" collapsed="false">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ustomFormat="false" ht="15.75" hidden="false" customHeight="true" outlineLevel="0" collapsed="false">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ustomFormat="false" ht="15.75" hidden="false" customHeight="true" outlineLevel="0" collapsed="false">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ustomFormat="false" ht="15.75" hidden="false" customHeight="true" outlineLevel="0" collapsed="false">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ustomFormat="false" ht="15.75" hidden="false" customHeight="true" outlineLevel="0" collapsed="false">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ustomFormat="false" ht="15.75" hidden="false" customHeight="true" outlineLevel="0" collapsed="false">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ustomFormat="false" ht="15.75" hidden="false" customHeight="true" outlineLevel="0" collapsed="false">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ustomFormat="false" ht="15.75" hidden="false" customHeight="true" outlineLevel="0" collapsed="false">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ustomFormat="false" ht="15.75" hidden="false" customHeight="true" outlineLevel="0" collapsed="false">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ustomFormat="false" ht="15.75" hidden="false" customHeight="true" outlineLevel="0" collapsed="false">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ustomFormat="false" ht="15.75" hidden="false" customHeight="true" outlineLevel="0" collapsed="false">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ustomFormat="false" ht="15.75" hidden="false" customHeight="true" outlineLevel="0" collapsed="false">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ustomFormat="false" ht="15.75" hidden="false" customHeight="true" outlineLevel="0" collapsed="false">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ustomFormat="false" ht="15.75" hidden="false" customHeight="true" outlineLevel="0" collapsed="false">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ustomFormat="false" ht="15.75" hidden="false" customHeight="true" outlineLevel="0" collapsed="false">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ustomFormat="false" ht="15.75" hidden="false" customHeight="true" outlineLevel="0" collapsed="false">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ustomFormat="false" ht="15.75" hidden="false" customHeight="true" outlineLevel="0" collapsed="false">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ustomFormat="false" ht="15.75" hidden="false" customHeight="true" outlineLevel="0" collapsed="false">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ustomFormat="false" ht="15.75" hidden="false" customHeight="true" outlineLevel="0" collapsed="false">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ustomFormat="false" ht="15.75" hidden="false" customHeight="true" outlineLevel="0" collapsed="false">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ustomFormat="false" ht="15.75" hidden="false" customHeight="true" outlineLevel="0" collapsed="false">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ustomFormat="false" ht="15.75" hidden="false" customHeight="true" outlineLevel="0" collapsed="false">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ustomFormat="false" ht="15.75" hidden="false" customHeight="true" outlineLevel="0" collapsed="false">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ustomFormat="false" ht="15.75" hidden="false" customHeight="true" outlineLevel="0" collapsed="false">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ustomFormat="false" ht="15.75" hidden="false" customHeight="true" outlineLevel="0" collapsed="false">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ustomFormat="false" ht="15.75" hidden="false" customHeight="true" outlineLevel="0" collapsed="false">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ustomFormat="false" ht="15.75" hidden="false" customHeight="true" outlineLevel="0" collapsed="false">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ustomFormat="false" ht="15.75" hidden="false" customHeight="true" outlineLevel="0" collapsed="false">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ustomFormat="false" ht="15.75" hidden="false" customHeight="true" outlineLevel="0" collapsed="false">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ustomFormat="false" ht="15.75" hidden="false" customHeight="true" outlineLevel="0" collapsed="false">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ustomFormat="false" ht="15.75" hidden="false" customHeight="true" outlineLevel="0" collapsed="false">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ustomFormat="false" ht="15.75" hidden="false" customHeight="true" outlineLevel="0" collapsed="false">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ustomFormat="false" ht="15.75" hidden="false" customHeight="true" outlineLevel="0" collapsed="false">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ustomFormat="false" ht="15.75" hidden="false" customHeight="true" outlineLevel="0" collapsed="false">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ustomFormat="false" ht="15.75" hidden="false" customHeight="true" outlineLevel="0" collapsed="false">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ustomFormat="false" ht="15.75" hidden="false" customHeight="true" outlineLevel="0" collapsed="false">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ustomFormat="false" ht="15.75" hidden="false" customHeight="true" outlineLevel="0" collapsed="false">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ustomFormat="false" ht="15.75" hidden="false" customHeight="true" outlineLevel="0" collapsed="false">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ustomFormat="false" ht="15.75" hidden="false" customHeight="true" outlineLevel="0" collapsed="false">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ustomFormat="false" ht="15.75" hidden="false" customHeight="true" outlineLevel="0" collapsed="false">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ustomFormat="false" ht="15.75" hidden="false" customHeight="true" outlineLevel="0" collapsed="false">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ustomFormat="false" ht="15.75" hidden="false" customHeight="true" outlineLevel="0" collapsed="false">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ustomFormat="false" ht="15.75" hidden="false" customHeight="true" outlineLevel="0" collapsed="false">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ustomFormat="false" ht="15.75" hidden="false" customHeight="true" outlineLevel="0" collapsed="false">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ustomFormat="false" ht="15.75" hidden="false" customHeight="true" outlineLevel="0" collapsed="false">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ustomFormat="false" ht="15.75" hidden="false" customHeight="true" outlineLevel="0" collapsed="false">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ustomFormat="false" ht="15.75" hidden="false" customHeight="true" outlineLevel="0" collapsed="false">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ustomFormat="false" ht="15.75" hidden="false" customHeight="true" outlineLevel="0" collapsed="false">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ustomFormat="false" ht="15.75" hidden="false" customHeight="true" outlineLevel="0" collapsed="false">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ustomFormat="false" ht="15.75" hidden="false" customHeight="true" outlineLevel="0" collapsed="false">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ustomFormat="false" ht="15.75" hidden="false" customHeight="true" outlineLevel="0" collapsed="false">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ustomFormat="false" ht="15.75" hidden="false" customHeight="true" outlineLevel="0" collapsed="false">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ustomFormat="false" ht="15.75" hidden="false" customHeight="true" outlineLevel="0" collapsed="false">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ustomFormat="false" ht="15.75" hidden="false" customHeight="true" outlineLevel="0" collapsed="false">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ustomFormat="false" ht="15.75" hidden="false" customHeight="true" outlineLevel="0" collapsed="false">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ustomFormat="false" ht="15.75" hidden="false" customHeight="true" outlineLevel="0" collapsed="false">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ustomFormat="false" ht="15.75" hidden="false" customHeight="true" outlineLevel="0" collapsed="false">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ustomFormat="false" ht="15.75" hidden="false" customHeight="true" outlineLevel="0" collapsed="false">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ustomFormat="false" ht="15.75" hidden="false" customHeight="true" outlineLevel="0" collapsed="false">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ustomFormat="false" ht="15.75" hidden="false" customHeight="true" outlineLevel="0" collapsed="false">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ustomFormat="false" ht="15.75" hidden="false" customHeight="true" outlineLevel="0" collapsed="false">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ustomFormat="false" ht="15.75" hidden="false" customHeight="true" outlineLevel="0" collapsed="false">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ustomFormat="false" ht="15.75" hidden="false" customHeight="true" outlineLevel="0" collapsed="false">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ustomFormat="false" ht="15.75" hidden="false" customHeight="true" outlineLevel="0" collapsed="false">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ustomFormat="false" ht="15.75" hidden="false" customHeight="true" outlineLevel="0" collapsed="false">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ustomFormat="false" ht="15.75" hidden="false" customHeight="true" outlineLevel="0" collapsed="false">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ustomFormat="false" ht="15.75" hidden="false" customHeight="true" outlineLevel="0" collapsed="false">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ustomFormat="false" ht="15.75" hidden="false" customHeight="true" outlineLevel="0" collapsed="false">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ustomFormat="false" ht="15.75" hidden="false" customHeight="true" outlineLevel="0" collapsed="false">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ustomFormat="false" ht="15.75" hidden="false" customHeight="true" outlineLevel="0" collapsed="false">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ustomFormat="false" ht="15.75" hidden="false" customHeight="true" outlineLevel="0" collapsed="false">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ustomFormat="false" ht="15.75" hidden="false" customHeight="true" outlineLevel="0" collapsed="false">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ustomFormat="false" ht="15.75" hidden="false" customHeight="true" outlineLevel="0" collapsed="false">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ustomFormat="false" ht="15.75" hidden="false" customHeight="true" outlineLevel="0" collapsed="false">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ustomFormat="false" ht="15.75" hidden="false" customHeight="true" outlineLevel="0" collapsed="false">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ustomFormat="false" ht="15.75" hidden="false" customHeight="true" outlineLevel="0" collapsed="false">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ustomFormat="false" ht="15.75" hidden="false" customHeight="true" outlineLevel="0" collapsed="false">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ustomFormat="false" ht="15.75" hidden="false" customHeight="true" outlineLevel="0" collapsed="false">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ustomFormat="false" ht="15.75" hidden="false" customHeight="true" outlineLevel="0" collapsed="false">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ustomFormat="false" ht="15.75" hidden="false" customHeight="true" outlineLevel="0" collapsed="false">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ustomFormat="false" ht="15.75" hidden="false" customHeight="true" outlineLevel="0" collapsed="false">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ustomFormat="false" ht="15.75" hidden="false" customHeight="true" outlineLevel="0" collapsed="false">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ustomFormat="false" ht="15.75" hidden="false" customHeight="true" outlineLevel="0" collapsed="false">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ustomFormat="false" ht="15.75" hidden="false" customHeight="true" outlineLevel="0" collapsed="false">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ustomFormat="false" ht="15.75" hidden="false" customHeight="true" outlineLevel="0" collapsed="false">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ustomFormat="false" ht="15.75" hidden="false" customHeight="true" outlineLevel="0" collapsed="false">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ustomFormat="false" ht="15.75" hidden="false" customHeight="true" outlineLevel="0" collapsed="false">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ustomFormat="false" ht="15.75" hidden="false" customHeight="true" outlineLevel="0" collapsed="false">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ustomFormat="false" ht="15.75" hidden="false" customHeight="true" outlineLevel="0" collapsed="false">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ustomFormat="false" ht="15.75" hidden="false" customHeight="true" outlineLevel="0" collapsed="false">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ustomFormat="false" ht="15.75" hidden="false" customHeight="true" outlineLevel="0" collapsed="false">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ustomFormat="false" ht="15.75" hidden="false" customHeight="true" outlineLevel="0" collapsed="false">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ustomFormat="false" ht="15.75" hidden="false" customHeight="true" outlineLevel="0" collapsed="false">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ustomFormat="false" ht="15.75" hidden="false" customHeight="true" outlineLevel="0" collapsed="false">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ustomFormat="false" ht="15.75" hidden="false" customHeight="true" outlineLevel="0" collapsed="false">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ustomFormat="false" ht="15.75" hidden="false" customHeight="true" outlineLevel="0" collapsed="false">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ustomFormat="false" ht="15.75" hidden="false" customHeight="true" outlineLevel="0" collapsed="false">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ustomFormat="false" ht="15.75" hidden="false" customHeight="true" outlineLevel="0" collapsed="false">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ustomFormat="false" ht="15.75" hidden="false" customHeight="true" outlineLevel="0" collapsed="false">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ustomFormat="false" ht="15.75" hidden="false" customHeight="true" outlineLevel="0" collapsed="false">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ustomFormat="false" ht="15.75" hidden="false" customHeight="true" outlineLevel="0" collapsed="false">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ustomFormat="false" ht="15.75" hidden="false" customHeight="true" outlineLevel="0" collapsed="false">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ustomFormat="false" ht="15.75" hidden="false" customHeight="true" outlineLevel="0" collapsed="false">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ustomFormat="false" ht="15.75" hidden="false" customHeight="true" outlineLevel="0" collapsed="false">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ustomFormat="false" ht="15.75" hidden="false" customHeight="true" outlineLevel="0" collapsed="false">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ustomFormat="false" ht="15.75" hidden="false" customHeight="true" outlineLevel="0" collapsed="false">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ustomFormat="false" ht="15.75" hidden="false" customHeight="true" outlineLevel="0" collapsed="false">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ustomFormat="false" ht="15.75" hidden="false" customHeight="true" outlineLevel="0" collapsed="false">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ustomFormat="false" ht="15.75" hidden="false" customHeight="true" outlineLevel="0" collapsed="false">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ustomFormat="false" ht="15.75" hidden="false" customHeight="true" outlineLevel="0" collapsed="false">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ustomFormat="false" ht="15.75" hidden="false" customHeight="true" outlineLevel="0" collapsed="false">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ustomFormat="false" ht="15.75" hidden="false" customHeight="true" outlineLevel="0" collapsed="false">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ustomFormat="false" ht="15.75" hidden="false" customHeight="true" outlineLevel="0" collapsed="false">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ustomFormat="false" ht="15.75" hidden="false" customHeight="true" outlineLevel="0" collapsed="false">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ustomFormat="false" ht="15.75" hidden="false" customHeight="true" outlineLevel="0" collapsed="false">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ustomFormat="false" ht="15.75" hidden="false" customHeight="true" outlineLevel="0" collapsed="false">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ustomFormat="false" ht="15.75" hidden="false" customHeight="true" outlineLevel="0" collapsed="false">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ustomFormat="false" ht="15.75" hidden="false" customHeight="true" outlineLevel="0" collapsed="false">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ustomFormat="false" ht="15.75" hidden="false" customHeight="true" outlineLevel="0" collapsed="false">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ustomFormat="false" ht="15.75" hidden="false" customHeight="true" outlineLevel="0" collapsed="false">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ustomFormat="false" ht="15.75" hidden="false" customHeight="true" outlineLevel="0" collapsed="false">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ustomFormat="false" ht="15.75" hidden="false" customHeight="true" outlineLevel="0" collapsed="false">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ustomFormat="false" ht="15.75" hidden="false" customHeight="true" outlineLevel="0" collapsed="false">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ustomFormat="false" ht="15.75" hidden="false" customHeight="true" outlineLevel="0" collapsed="false">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ustomFormat="false" ht="15.75" hidden="false" customHeight="true" outlineLevel="0" collapsed="false">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ustomFormat="false" ht="15.75" hidden="false" customHeight="true" outlineLevel="0" collapsed="false">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ustomFormat="false" ht="15.75" hidden="false" customHeight="true" outlineLevel="0" collapsed="false">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ustomFormat="false" ht="15.75" hidden="false" customHeight="true" outlineLevel="0" collapsed="false">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ustomFormat="false" ht="15.75" hidden="false" customHeight="true" outlineLevel="0" collapsed="false">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ustomFormat="false" ht="15.75" hidden="false" customHeight="true" outlineLevel="0" collapsed="false">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ustomFormat="false" ht="15.75" hidden="false" customHeight="true" outlineLevel="0" collapsed="false">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ustomFormat="false" ht="15.75" hidden="false" customHeight="true" outlineLevel="0" collapsed="false">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ustomFormat="false" ht="15.75" hidden="false" customHeight="true" outlineLevel="0" collapsed="false">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ustomFormat="false" ht="15.75" hidden="false" customHeight="true" outlineLevel="0" collapsed="false">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ustomFormat="false" ht="15.75" hidden="false" customHeight="true" outlineLevel="0" collapsed="false">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ustomFormat="false" ht="15.75" hidden="false" customHeight="true" outlineLevel="0" collapsed="false">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ustomFormat="false" ht="15.75" hidden="false" customHeight="true" outlineLevel="0" collapsed="false">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ustomFormat="false" ht="15.75" hidden="false" customHeight="true" outlineLevel="0" collapsed="false">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ustomFormat="false" ht="15.75" hidden="false" customHeight="true" outlineLevel="0" collapsed="false">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ustomFormat="false" ht="15.75" hidden="false" customHeight="true" outlineLevel="0" collapsed="false">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ustomFormat="false" ht="15.75" hidden="false" customHeight="true" outlineLevel="0" collapsed="false">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ustomFormat="false" ht="15.75" hidden="false" customHeight="true" outlineLevel="0" collapsed="false">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ustomFormat="false" ht="15.75" hidden="false" customHeight="true" outlineLevel="0" collapsed="false">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ustomFormat="false" ht="15.75" hidden="false" customHeight="true" outlineLevel="0" collapsed="false">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ustomFormat="false" ht="15.75" hidden="false" customHeight="true" outlineLevel="0" collapsed="false">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ustomFormat="false" ht="15.75" hidden="false" customHeight="true" outlineLevel="0" collapsed="false">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ustomFormat="false" ht="15.75" hidden="false" customHeight="true" outlineLevel="0" collapsed="false">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ustomFormat="false" ht="15.75" hidden="false" customHeight="true" outlineLevel="0" collapsed="false">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ustomFormat="false" ht="15.75" hidden="false" customHeight="true" outlineLevel="0" collapsed="false">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ustomFormat="false" ht="15.75" hidden="false" customHeight="true" outlineLevel="0" collapsed="false">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ustomFormat="false" ht="15.75" hidden="false" customHeight="true" outlineLevel="0" collapsed="false">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ustomFormat="false" ht="15.75" hidden="false" customHeight="true" outlineLevel="0" collapsed="false">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ustomFormat="false" ht="15.75" hidden="false" customHeight="true" outlineLevel="0" collapsed="false">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ustomFormat="false" ht="15.75" hidden="false" customHeight="true" outlineLevel="0" collapsed="false">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ustomFormat="false" ht="15.75" hidden="false" customHeight="true" outlineLevel="0" collapsed="false">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ustomFormat="false" ht="15.75" hidden="false" customHeight="true" outlineLevel="0" collapsed="false">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ustomFormat="false" ht="15.75" hidden="false" customHeight="true" outlineLevel="0" collapsed="false">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ustomFormat="false" ht="15.75" hidden="false" customHeight="true" outlineLevel="0" collapsed="false">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ustomFormat="false" ht="15.75" hidden="false" customHeight="true" outlineLevel="0" collapsed="false">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ustomFormat="false" ht="15.75" hidden="false" customHeight="true" outlineLevel="0" collapsed="false">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ustomFormat="false" ht="15.75" hidden="false" customHeight="true" outlineLevel="0" collapsed="false">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ustomFormat="false" ht="15.75" hidden="false" customHeight="true" outlineLevel="0" collapsed="false">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ustomFormat="false" ht="15.75" hidden="false" customHeight="true" outlineLevel="0" collapsed="false">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ustomFormat="false" ht="15.75" hidden="false" customHeight="true" outlineLevel="0" collapsed="false">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ustomFormat="false" ht="15.75" hidden="false" customHeight="true" outlineLevel="0" collapsed="false">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ustomFormat="false" ht="15.75" hidden="false" customHeight="true" outlineLevel="0" collapsed="false">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ustomFormat="false" ht="15.75" hidden="false" customHeight="true" outlineLevel="0" collapsed="false">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ustomFormat="false" ht="15.75" hidden="false" customHeight="true" outlineLevel="0" collapsed="false">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ustomFormat="false" ht="15.75" hidden="false" customHeight="true" outlineLevel="0" collapsed="false">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ustomFormat="false" ht="15.75" hidden="false" customHeight="true" outlineLevel="0" collapsed="false">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ustomFormat="false" ht="15.75" hidden="false" customHeight="true" outlineLevel="0" collapsed="false">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ustomFormat="false" ht="15.75" hidden="false" customHeight="true" outlineLevel="0" collapsed="false">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ustomFormat="false" ht="15.75" hidden="false" customHeight="true" outlineLevel="0" collapsed="false">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ustomFormat="false" ht="15.75" hidden="false" customHeight="true" outlineLevel="0" collapsed="false">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ustomFormat="false" ht="15.75" hidden="false" customHeight="true" outlineLevel="0" collapsed="false">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ustomFormat="false" ht="15.75" hidden="false" customHeight="true" outlineLevel="0" collapsed="false">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ustomFormat="false" ht="15.75" hidden="false" customHeight="true" outlineLevel="0" collapsed="false">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ustomFormat="false" ht="15.75" hidden="false" customHeight="true" outlineLevel="0" collapsed="false">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ustomFormat="false" ht="15.75" hidden="false" customHeight="true" outlineLevel="0" collapsed="false">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ustomFormat="false" ht="15.75" hidden="false" customHeight="true" outlineLevel="0" collapsed="false">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ustomFormat="false" ht="15.75" hidden="false" customHeight="true" outlineLevel="0" collapsed="false">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ustomFormat="false" ht="15.75" hidden="false" customHeight="true" outlineLevel="0" collapsed="false">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ustomFormat="false" ht="15.75" hidden="false" customHeight="true" outlineLevel="0" collapsed="false">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ustomFormat="false" ht="15.75" hidden="false" customHeight="true" outlineLevel="0" collapsed="false">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ustomFormat="false" ht="15.75" hidden="false" customHeight="true" outlineLevel="0" collapsed="false">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ustomFormat="false" ht="15.75" hidden="false" customHeight="true" outlineLevel="0" collapsed="false">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ustomFormat="false" ht="15.75" hidden="false" customHeight="true" outlineLevel="0" collapsed="false">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ustomFormat="false" ht="15.75" hidden="false" customHeight="true" outlineLevel="0" collapsed="false">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ustomFormat="false" ht="15.75" hidden="false" customHeight="true" outlineLevel="0" collapsed="false">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ustomFormat="false" ht="15.75" hidden="false" customHeight="true" outlineLevel="0" collapsed="false">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ustomFormat="false" ht="15.75" hidden="false" customHeight="true" outlineLevel="0" collapsed="false">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ustomFormat="false" ht="15.75" hidden="false" customHeight="true" outlineLevel="0" collapsed="false">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ustomFormat="false" ht="15.75" hidden="false" customHeight="true" outlineLevel="0" collapsed="false">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ustomFormat="false" ht="15.75" hidden="false" customHeight="true" outlineLevel="0" collapsed="false">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ustomFormat="false" ht="15.75" hidden="false" customHeight="true" outlineLevel="0" collapsed="false">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ustomFormat="false" ht="15.75" hidden="false" customHeight="true" outlineLevel="0" collapsed="false">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ustomFormat="false" ht="15.75" hidden="false" customHeight="true" outlineLevel="0" collapsed="false">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ustomFormat="false" ht="15.75" hidden="false" customHeight="true" outlineLevel="0" collapsed="false">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ustomFormat="false" ht="15.75" hidden="false" customHeight="true" outlineLevel="0" collapsed="false">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ustomFormat="false" ht="15.75" hidden="false" customHeight="true" outlineLevel="0" collapsed="false">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ustomFormat="false" ht="15.75" hidden="false" customHeight="true" outlineLevel="0" collapsed="false">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ustomFormat="false" ht="15.75" hidden="false" customHeight="true" outlineLevel="0" collapsed="false">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ustomFormat="false" ht="15.75" hidden="false" customHeight="true" outlineLevel="0" collapsed="false">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ustomFormat="false" ht="15.75" hidden="false" customHeight="true" outlineLevel="0" collapsed="false">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ustomFormat="false" ht="15.75" hidden="false" customHeight="true" outlineLevel="0" collapsed="false">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ustomFormat="false" ht="15.75" hidden="false" customHeight="true" outlineLevel="0" collapsed="false">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ustomFormat="false" ht="15.75" hidden="false" customHeight="true" outlineLevel="0" collapsed="false">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ustomFormat="false" ht="15.75" hidden="false" customHeight="true" outlineLevel="0" collapsed="false">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ustomFormat="false" ht="15.75" hidden="false" customHeight="true" outlineLevel="0" collapsed="false">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ustomFormat="false" ht="15.75" hidden="false" customHeight="true" outlineLevel="0" collapsed="false">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ustomFormat="false" ht="15.75" hidden="false" customHeight="true" outlineLevel="0" collapsed="false">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ustomFormat="false" ht="15.75" hidden="false" customHeight="true" outlineLevel="0" collapsed="false">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ustomFormat="false" ht="15.75" hidden="false" customHeight="true" outlineLevel="0" collapsed="false">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ustomFormat="false" ht="15.75" hidden="false" customHeight="true" outlineLevel="0" collapsed="false">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ustomFormat="false" ht="15.75" hidden="false" customHeight="true" outlineLevel="0" collapsed="false">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ustomFormat="false" ht="15.75" hidden="false" customHeight="true" outlineLevel="0" collapsed="false">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ustomFormat="false" ht="15.75" hidden="false" customHeight="true" outlineLevel="0" collapsed="false">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ustomFormat="false" ht="15.75" hidden="false" customHeight="true" outlineLevel="0" collapsed="false">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ustomFormat="false" ht="15.75" hidden="false" customHeight="true" outlineLevel="0" collapsed="false">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ustomFormat="false" ht="15.75" hidden="false" customHeight="true" outlineLevel="0" collapsed="false">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ustomFormat="false" ht="15.75" hidden="false" customHeight="true" outlineLevel="0" collapsed="false">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ustomFormat="false" ht="15.75" hidden="false" customHeight="true" outlineLevel="0" collapsed="false">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ustomFormat="false" ht="15.75" hidden="false" customHeight="true" outlineLevel="0" collapsed="false">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ustomFormat="false" ht="15.75" hidden="false" customHeight="true" outlineLevel="0" collapsed="false">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ustomFormat="false" ht="15.75" hidden="false" customHeight="true" outlineLevel="0" collapsed="false">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ustomFormat="false" ht="15.75" hidden="false" customHeight="true" outlineLevel="0" collapsed="false">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ustomFormat="false" ht="15.75" hidden="false" customHeight="true" outlineLevel="0" collapsed="false">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ustomFormat="false" ht="15.75" hidden="false" customHeight="true" outlineLevel="0" collapsed="false">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ustomFormat="false" ht="15.75" hidden="false" customHeight="true" outlineLevel="0" collapsed="false">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ustomFormat="false" ht="15.75" hidden="false" customHeight="true" outlineLevel="0" collapsed="false">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ustomFormat="false" ht="15.75" hidden="false" customHeight="true" outlineLevel="0" collapsed="false">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ustomFormat="false" ht="15.75" hidden="false" customHeight="true" outlineLevel="0" collapsed="false">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ustomFormat="false" ht="15.75" hidden="false" customHeight="true" outlineLevel="0" collapsed="false">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ustomFormat="false" ht="15.75" hidden="false" customHeight="true" outlineLevel="0" collapsed="false">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ustomFormat="false" ht="15.75" hidden="false" customHeight="true" outlineLevel="0" collapsed="false">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ustomFormat="false" ht="15.75" hidden="false" customHeight="true" outlineLevel="0" collapsed="false">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ustomFormat="false" ht="15.75" hidden="false" customHeight="true" outlineLevel="0" collapsed="false">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ustomFormat="false" ht="15.75" hidden="false" customHeight="true" outlineLevel="0" collapsed="false">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ustomFormat="false" ht="15.75" hidden="false" customHeight="true" outlineLevel="0" collapsed="false">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ustomFormat="false" ht="15.75" hidden="false" customHeight="true" outlineLevel="0" collapsed="false">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ustomFormat="false" ht="15.75" hidden="false" customHeight="true" outlineLevel="0" collapsed="false">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ustomFormat="false" ht="15.75" hidden="false" customHeight="true" outlineLevel="0" collapsed="false">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ustomFormat="false" ht="15.75" hidden="false" customHeight="true" outlineLevel="0" collapsed="false">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ustomFormat="false" ht="15.75" hidden="false" customHeight="true" outlineLevel="0" collapsed="false">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ustomFormat="false" ht="15.75" hidden="false" customHeight="true" outlineLevel="0" collapsed="false">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ustomFormat="false" ht="15.75" hidden="false" customHeight="true" outlineLevel="0" collapsed="false">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ustomFormat="false" ht="15.75" hidden="false" customHeight="true" outlineLevel="0" collapsed="false">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ustomFormat="false" ht="15.75" hidden="false" customHeight="true" outlineLevel="0" collapsed="false">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ustomFormat="false" ht="15.75" hidden="false" customHeight="true" outlineLevel="0" collapsed="false">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ustomFormat="false" ht="15.75" hidden="false" customHeight="true" outlineLevel="0" collapsed="false">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ustomFormat="false" ht="15.75" hidden="false" customHeight="true" outlineLevel="0" collapsed="false">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ustomFormat="false" ht="15.75" hidden="false" customHeight="true" outlineLevel="0" collapsed="false">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ustomFormat="false" ht="15.75" hidden="false" customHeight="true" outlineLevel="0" collapsed="false">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ustomFormat="false" ht="15.75" hidden="false" customHeight="true" outlineLevel="0" collapsed="false">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ustomFormat="false" ht="15.75" hidden="false" customHeight="true" outlineLevel="0" collapsed="false">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ustomFormat="false" ht="15.75" hidden="false" customHeight="true" outlineLevel="0" collapsed="false">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ustomFormat="false" ht="15.75" hidden="false" customHeight="true" outlineLevel="0" collapsed="false">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ustomFormat="false" ht="15.75" hidden="false" customHeight="true" outlineLevel="0" collapsed="false">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ustomFormat="false" ht="15.75" hidden="false" customHeight="true" outlineLevel="0" collapsed="false">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ustomFormat="false" ht="15.75" hidden="false" customHeight="true" outlineLevel="0" collapsed="false">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ustomFormat="false" ht="15.75" hidden="false" customHeight="true" outlineLevel="0" collapsed="false">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ustomFormat="false" ht="15.75" hidden="false" customHeight="true" outlineLevel="0" collapsed="false">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ustomFormat="false" ht="15.75" hidden="false" customHeight="true" outlineLevel="0" collapsed="false">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ustomFormat="false" ht="15.75" hidden="false" customHeight="true" outlineLevel="0" collapsed="false">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ustomFormat="false" ht="15.75" hidden="false" customHeight="true" outlineLevel="0" collapsed="false">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ustomFormat="false" ht="15.75" hidden="false" customHeight="true" outlineLevel="0" collapsed="false">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ustomFormat="false" ht="15.75" hidden="false" customHeight="true" outlineLevel="0" collapsed="false">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ustomFormat="false" ht="15.75" hidden="false" customHeight="true" outlineLevel="0" collapsed="false">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ustomFormat="false" ht="15.75" hidden="false" customHeight="true" outlineLevel="0" collapsed="false">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ustomFormat="false" ht="15.75" hidden="false" customHeight="true" outlineLevel="0" collapsed="false">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ustomFormat="false" ht="15.75" hidden="false" customHeight="true" outlineLevel="0" collapsed="false">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ustomFormat="false" ht="15.75" hidden="false" customHeight="true" outlineLevel="0" collapsed="false">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ustomFormat="false" ht="15.75" hidden="false" customHeight="true" outlineLevel="0" collapsed="false">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ustomFormat="false" ht="15.75" hidden="false" customHeight="true" outlineLevel="0" collapsed="false">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ustomFormat="false" ht="15.75" hidden="false" customHeight="true" outlineLevel="0" collapsed="false">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ustomFormat="false" ht="15.75" hidden="false" customHeight="true" outlineLevel="0" collapsed="false">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ustomFormat="false" ht="15.75" hidden="false" customHeight="true" outlineLevel="0" collapsed="false">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ustomFormat="false" ht="15.75" hidden="false" customHeight="true" outlineLevel="0" collapsed="false">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ustomFormat="false" ht="15.75" hidden="false" customHeight="true" outlineLevel="0" collapsed="false">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ustomFormat="false" ht="15.75" hidden="false" customHeight="true" outlineLevel="0" collapsed="false">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ustomFormat="false" ht="15.75" hidden="false" customHeight="true" outlineLevel="0" collapsed="false">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ustomFormat="false" ht="15.75" hidden="false" customHeight="true" outlineLevel="0" collapsed="false">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ustomFormat="false" ht="15.75" hidden="false" customHeight="true" outlineLevel="0" collapsed="false">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ustomFormat="false" ht="15.75" hidden="false" customHeight="true" outlineLevel="0" collapsed="false">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ustomFormat="false" ht="15.75" hidden="false" customHeight="true" outlineLevel="0" collapsed="false">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ustomFormat="false" ht="15.75" hidden="false" customHeight="true" outlineLevel="0" collapsed="false">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ustomFormat="false" ht="15.75" hidden="false" customHeight="true" outlineLevel="0" collapsed="false">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ustomFormat="false" ht="15.75" hidden="false" customHeight="true" outlineLevel="0" collapsed="false">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ustomFormat="false" ht="15.75" hidden="false" customHeight="true" outlineLevel="0" collapsed="false">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ustomFormat="false" ht="15.75" hidden="false" customHeight="true" outlineLevel="0" collapsed="false">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ustomFormat="false" ht="15.75" hidden="false" customHeight="true" outlineLevel="0" collapsed="false">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ustomFormat="false" ht="15.75" hidden="false" customHeight="true" outlineLevel="0" collapsed="false">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ustomFormat="false" ht="15.75" hidden="false" customHeight="true" outlineLevel="0" collapsed="false">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ustomFormat="false" ht="15.75" hidden="false" customHeight="true" outlineLevel="0" collapsed="false">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ustomFormat="false" ht="15.75" hidden="false" customHeight="true" outlineLevel="0" collapsed="false">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ustomFormat="false" ht="15.75" hidden="false" customHeight="true" outlineLevel="0" collapsed="false">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ustomFormat="false" ht="15.75" hidden="false" customHeight="true" outlineLevel="0" collapsed="false">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ustomFormat="false" ht="15.75" hidden="false" customHeight="true" outlineLevel="0" collapsed="false">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ustomFormat="false" ht="15.75" hidden="false" customHeight="true" outlineLevel="0" collapsed="false">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ustomFormat="false" ht="15.75" hidden="false" customHeight="true" outlineLevel="0" collapsed="false">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ustomFormat="false" ht="15.75" hidden="false" customHeight="true" outlineLevel="0" collapsed="false">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ustomFormat="false" ht="15.75" hidden="false" customHeight="true" outlineLevel="0" collapsed="false">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ustomFormat="false" ht="15.75" hidden="false" customHeight="true" outlineLevel="0" collapsed="false">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ustomFormat="false" ht="15.75" hidden="false" customHeight="true" outlineLevel="0" collapsed="false">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ustomFormat="false" ht="15.75" hidden="false" customHeight="true" outlineLevel="0" collapsed="false">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ustomFormat="false" ht="15.75" hidden="false" customHeight="true" outlineLevel="0" collapsed="false">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ustomFormat="false" ht="15.75" hidden="false" customHeight="true" outlineLevel="0" collapsed="false">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ustomFormat="false" ht="15.75" hidden="false" customHeight="true" outlineLevel="0" collapsed="false">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ustomFormat="false" ht="15.75" hidden="false" customHeight="true" outlineLevel="0" collapsed="false">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ustomFormat="false" ht="15.75" hidden="false" customHeight="true" outlineLevel="0" collapsed="false">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ustomFormat="false" ht="15.75" hidden="false" customHeight="true" outlineLevel="0" collapsed="false">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ustomFormat="false" ht="15.75" hidden="false" customHeight="true" outlineLevel="0" collapsed="false">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ustomFormat="false" ht="15.75" hidden="false" customHeight="true" outlineLevel="0" collapsed="false">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ustomFormat="false" ht="15.75" hidden="false" customHeight="true" outlineLevel="0" collapsed="false">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ustomFormat="false" ht="15.75" hidden="false" customHeight="true" outlineLevel="0" collapsed="false">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ustomFormat="false" ht="15.75" hidden="false" customHeight="true" outlineLevel="0" collapsed="false">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ustomFormat="false" ht="15.75" hidden="false" customHeight="true" outlineLevel="0" collapsed="false">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ustomFormat="false" ht="15.75" hidden="false" customHeight="true" outlineLevel="0" collapsed="false">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ustomFormat="false" ht="15.75" hidden="false" customHeight="true" outlineLevel="0" collapsed="false">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ustomFormat="false" ht="15.75" hidden="false" customHeight="true" outlineLevel="0" collapsed="false">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ustomFormat="false" ht="15.75" hidden="false" customHeight="true" outlineLevel="0" collapsed="false">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ustomFormat="false" ht="15.75" hidden="false" customHeight="true" outlineLevel="0" collapsed="false">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ustomFormat="false" ht="15.75" hidden="false" customHeight="true" outlineLevel="0" collapsed="false">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ustomFormat="false" ht="15.75" hidden="false" customHeight="true" outlineLevel="0" collapsed="false">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ustomFormat="false" ht="15.75" hidden="false" customHeight="true" outlineLevel="0" collapsed="false">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ustomFormat="false" ht="15.75" hidden="false" customHeight="true" outlineLevel="0" collapsed="false">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ustomFormat="false" ht="15.75" hidden="false" customHeight="true" outlineLevel="0" collapsed="false">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ustomFormat="false" ht="15.75" hidden="false" customHeight="true" outlineLevel="0" collapsed="false">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ustomFormat="false" ht="15.75" hidden="false" customHeight="true" outlineLevel="0" collapsed="false">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ustomFormat="false" ht="15.75" hidden="false" customHeight="true" outlineLevel="0" collapsed="false">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ustomFormat="false" ht="15.75" hidden="false" customHeight="true" outlineLevel="0" collapsed="false">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ustomFormat="false" ht="15.75" hidden="false" customHeight="true" outlineLevel="0" collapsed="false">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ustomFormat="false" ht="15.75" hidden="false" customHeight="true" outlineLevel="0" collapsed="false">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ustomFormat="false" ht="15.75" hidden="false" customHeight="true" outlineLevel="0" collapsed="false">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ustomFormat="false" ht="15.75" hidden="false" customHeight="true" outlineLevel="0" collapsed="false">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ustomFormat="false" ht="15.75" hidden="false" customHeight="true" outlineLevel="0" collapsed="false">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ustomFormat="false" ht="15.75" hidden="false" customHeight="true" outlineLevel="0" collapsed="false">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ustomFormat="false" ht="15.75" hidden="false" customHeight="true" outlineLevel="0" collapsed="false">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ustomFormat="false" ht="15.75" hidden="false" customHeight="true" outlineLevel="0" collapsed="false">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ustomFormat="false" ht="15.75" hidden="false" customHeight="true" outlineLevel="0" collapsed="false">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ustomFormat="false" ht="15.75" hidden="false" customHeight="true" outlineLevel="0" collapsed="false">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ustomFormat="false" ht="15.75" hidden="false" customHeight="true" outlineLevel="0" collapsed="false">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ustomFormat="false" ht="15.75" hidden="false" customHeight="true" outlineLevel="0" collapsed="false">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ustomFormat="false" ht="15.75" hidden="false" customHeight="true" outlineLevel="0" collapsed="false">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ustomFormat="false" ht="15.75" hidden="false" customHeight="true" outlineLevel="0" collapsed="false">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ustomFormat="false" ht="15.75" hidden="false" customHeight="true" outlineLevel="0" collapsed="false">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ustomFormat="false" ht="15.75" hidden="false" customHeight="true" outlineLevel="0" collapsed="false">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ustomFormat="false" ht="15.75" hidden="false" customHeight="true" outlineLevel="0" collapsed="false">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ustomFormat="false" ht="15.75" hidden="false" customHeight="true" outlineLevel="0" collapsed="false">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ustomFormat="false" ht="15.75" hidden="false" customHeight="true" outlineLevel="0" collapsed="false">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ustomFormat="false" ht="15.75" hidden="false" customHeight="true" outlineLevel="0" collapsed="false">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ustomFormat="false" ht="15.75" hidden="false" customHeight="true" outlineLevel="0" collapsed="false">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ustomFormat="false" ht="15.75" hidden="false" customHeight="true" outlineLevel="0" collapsed="false">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ustomFormat="false" ht="15.75" hidden="false" customHeight="true" outlineLevel="0" collapsed="false">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ustomFormat="false" ht="15.75" hidden="false" customHeight="true" outlineLevel="0" collapsed="false">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ustomFormat="false" ht="15.75" hidden="false" customHeight="true" outlineLevel="0" collapsed="false">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ustomFormat="false" ht="15.75" hidden="false" customHeight="true" outlineLevel="0" collapsed="false">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ustomFormat="false" ht="15.75" hidden="false" customHeight="true" outlineLevel="0" collapsed="false">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ustomFormat="false" ht="15.75" hidden="false" customHeight="true" outlineLevel="0" collapsed="false">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ustomFormat="false" ht="15.75" hidden="false" customHeight="true" outlineLevel="0" collapsed="false">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ustomFormat="false" ht="15.75" hidden="false" customHeight="true" outlineLevel="0" collapsed="false">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ustomFormat="false" ht="15.75" hidden="false" customHeight="true" outlineLevel="0" collapsed="false">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ustomFormat="false" ht="15.75" hidden="false" customHeight="true" outlineLevel="0" collapsed="false">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ustomFormat="false" ht="15.75" hidden="false" customHeight="true" outlineLevel="0" collapsed="false">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ustomFormat="false" ht="15.75" hidden="false" customHeight="true" outlineLevel="0" collapsed="false">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ustomFormat="false" ht="15.75" hidden="false" customHeight="true" outlineLevel="0" collapsed="false">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ustomFormat="false" ht="15.75" hidden="false" customHeight="true" outlineLevel="0" collapsed="false">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ustomFormat="false" ht="15.75" hidden="false" customHeight="true" outlineLevel="0" collapsed="false">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ustomFormat="false" ht="15.75" hidden="false" customHeight="true" outlineLevel="0" collapsed="false">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ustomFormat="false" ht="15.75" hidden="false" customHeight="true" outlineLevel="0" collapsed="false">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ustomFormat="false" ht="15.75" hidden="false" customHeight="true" outlineLevel="0" collapsed="false">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ustomFormat="false" ht="15.75" hidden="false" customHeight="true" outlineLevel="0" collapsed="false">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ustomFormat="false" ht="15.75" hidden="false" customHeight="true" outlineLevel="0" collapsed="false">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ustomFormat="false" ht="15.75" hidden="false" customHeight="true" outlineLevel="0" collapsed="false">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ustomFormat="false" ht="15.75" hidden="false" customHeight="true" outlineLevel="0" collapsed="false">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ustomFormat="false" ht="15.75" hidden="false" customHeight="true" outlineLevel="0" collapsed="false">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ustomFormat="false" ht="15.75" hidden="false" customHeight="true" outlineLevel="0" collapsed="false">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ustomFormat="false" ht="15.75" hidden="false" customHeight="true" outlineLevel="0" collapsed="false">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ustomFormat="false" ht="15.75" hidden="false" customHeight="true" outlineLevel="0" collapsed="false">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ustomFormat="false" ht="15.75" hidden="false" customHeight="true" outlineLevel="0" collapsed="false">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ustomFormat="false" ht="15.75" hidden="false" customHeight="true" outlineLevel="0" collapsed="false">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ustomFormat="false" ht="15.75" hidden="false" customHeight="true" outlineLevel="0" collapsed="false">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ustomFormat="false" ht="15.75" hidden="false" customHeight="true" outlineLevel="0" collapsed="false">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ustomFormat="false" ht="15.75" hidden="false" customHeight="true" outlineLevel="0" collapsed="false">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ustomFormat="false" ht="15.75" hidden="false" customHeight="true" outlineLevel="0" collapsed="false">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ustomFormat="false" ht="15.75" hidden="false" customHeight="true" outlineLevel="0" collapsed="false">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ustomFormat="false" ht="15.75" hidden="false" customHeight="true" outlineLevel="0" collapsed="false">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ustomFormat="false" ht="15.75" hidden="false" customHeight="true" outlineLevel="0" collapsed="false">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ustomFormat="false" ht="15.75" hidden="false" customHeight="true" outlineLevel="0" collapsed="false">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ustomFormat="false" ht="15.75" hidden="false" customHeight="true" outlineLevel="0" collapsed="false">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ustomFormat="false" ht="15.75" hidden="false" customHeight="true" outlineLevel="0" collapsed="false">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ustomFormat="false" ht="15.75" hidden="false" customHeight="true" outlineLevel="0" collapsed="false">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ustomFormat="false" ht="15.75" hidden="false" customHeight="true" outlineLevel="0" collapsed="false">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ustomFormat="false" ht="15.75" hidden="false" customHeight="true" outlineLevel="0" collapsed="false">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ustomFormat="false" ht="15.75" hidden="false" customHeight="true" outlineLevel="0" collapsed="false">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ustomFormat="false" ht="15.75" hidden="false" customHeight="true" outlineLevel="0" collapsed="false">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ustomFormat="false" ht="15.75" hidden="false" customHeight="true" outlineLevel="0" collapsed="false">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ustomFormat="false" ht="15.75" hidden="false" customHeight="true" outlineLevel="0" collapsed="false">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ustomFormat="false" ht="15.75" hidden="false" customHeight="true" outlineLevel="0" collapsed="false">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ustomFormat="false" ht="15.75" hidden="false" customHeight="true" outlineLevel="0" collapsed="false">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ustomFormat="false" ht="15.75" hidden="false" customHeight="true" outlineLevel="0" collapsed="false">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ustomFormat="false" ht="15.75" hidden="false" customHeight="true" outlineLevel="0" collapsed="false">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ustomFormat="false" ht="15.75" hidden="false" customHeight="true" outlineLevel="0" collapsed="false">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ustomFormat="false" ht="15.75" hidden="false" customHeight="true" outlineLevel="0" collapsed="false">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ustomFormat="false" ht="15.75" hidden="false" customHeight="true" outlineLevel="0" collapsed="false">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ustomFormat="false" ht="15.75" hidden="false" customHeight="true" outlineLevel="0" collapsed="false">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ustomFormat="false" ht="15.75" hidden="false" customHeight="true" outlineLevel="0" collapsed="false">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ustomFormat="false" ht="15.75" hidden="false" customHeight="true" outlineLevel="0" collapsed="false">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ustomFormat="false" ht="15.75" hidden="false" customHeight="true" outlineLevel="0" collapsed="false">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ustomFormat="false" ht="15.75" hidden="false" customHeight="true" outlineLevel="0" collapsed="false">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ustomFormat="false" ht="15.75" hidden="false" customHeight="true" outlineLevel="0" collapsed="false">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ustomFormat="false" ht="15.75" hidden="false" customHeight="true" outlineLevel="0" collapsed="false">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ustomFormat="false" ht="15.75" hidden="false" customHeight="true" outlineLevel="0" collapsed="false">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ustomFormat="false" ht="15.75" hidden="false" customHeight="true" outlineLevel="0" collapsed="false">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ustomFormat="false" ht="15.75" hidden="false" customHeight="true" outlineLevel="0" collapsed="false">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ustomFormat="false" ht="15.75" hidden="false" customHeight="true" outlineLevel="0" collapsed="false">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ustomFormat="false" ht="15.75" hidden="false" customHeight="true" outlineLevel="0" collapsed="false">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ustomFormat="false" ht="15.75" hidden="false" customHeight="true" outlineLevel="0" collapsed="false">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ustomFormat="false" ht="15.75" hidden="false" customHeight="true" outlineLevel="0" collapsed="false">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ustomFormat="false" ht="15.75" hidden="false" customHeight="true" outlineLevel="0" collapsed="false">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ustomFormat="false" ht="15.75" hidden="false" customHeight="true" outlineLevel="0" collapsed="false">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ustomFormat="false" ht="15.75" hidden="false" customHeight="true" outlineLevel="0" collapsed="false">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0"/>
    <col collapsed="false" customWidth="true" hidden="false" outlineLevel="0" max="4" min="4" style="0" width="18"/>
    <col collapsed="false" customWidth="true" hidden="false" outlineLevel="0" max="5" min="5" style="0" width="12"/>
    <col collapsed="false" customWidth="true" hidden="false" outlineLevel="0" max="7" min="6" style="0" width="10"/>
    <col collapsed="false" customWidth="true" hidden="false" outlineLevel="0" max="8" min="8" style="0" width="14"/>
    <col collapsed="false" customWidth="true" hidden="false" outlineLevel="0" max="9" min="9" style="0" width="12"/>
    <col collapsed="false" customWidth="true" hidden="false" outlineLevel="0" max="26" min="10" style="0" width="22"/>
  </cols>
  <sheetData>
    <row r="1" customFormat="false" ht="15" hidden="false" customHeight="false" outlineLevel="0" collapsed="false">
      <c r="A1" s="54" t="s">
        <v>72</v>
      </c>
      <c r="B1" s="54" t="s">
        <v>73</v>
      </c>
      <c r="C1" s="54" t="s">
        <v>20</v>
      </c>
      <c r="D1" s="54" t="s">
        <v>74</v>
      </c>
      <c r="E1" s="54" t="s">
        <v>75</v>
      </c>
      <c r="F1" s="54" t="s">
        <v>76</v>
      </c>
      <c r="G1" s="54" t="s">
        <v>77</v>
      </c>
      <c r="H1" s="54" t="s">
        <v>78</v>
      </c>
      <c r="I1" s="54" t="s">
        <v>79</v>
      </c>
      <c r="J1" s="55" t="s">
        <v>80</v>
      </c>
      <c r="K1" s="56"/>
      <c r="L1" s="56"/>
      <c r="M1" s="56"/>
      <c r="N1" s="56"/>
      <c r="O1" s="56"/>
      <c r="P1" s="56"/>
      <c r="Q1" s="56"/>
      <c r="R1" s="56"/>
      <c r="S1" s="56"/>
      <c r="T1" s="56"/>
      <c r="U1" s="56"/>
      <c r="V1" s="56"/>
      <c r="W1" s="56"/>
      <c r="X1" s="56"/>
      <c r="Y1" s="56"/>
      <c r="Z1" s="56"/>
    </row>
    <row r="2" customFormat="false" ht="15" hidden="false" customHeight="false" outlineLevel="0" collapsed="false">
      <c r="A2" s="57" t="s">
        <v>81</v>
      </c>
      <c r="B2" s="57" t="s">
        <v>82</v>
      </c>
      <c r="C2" s="57" t="s">
        <v>14</v>
      </c>
      <c r="D2" s="57" t="s">
        <v>15</v>
      </c>
      <c r="E2" s="58" t="n">
        <v>1036.09</v>
      </c>
      <c r="F2" s="57" t="n">
        <v>4</v>
      </c>
      <c r="G2" s="59" t="n">
        <v>0.2</v>
      </c>
      <c r="H2" s="60" t="n">
        <v>45392</v>
      </c>
      <c r="I2" s="58" t="n">
        <v>331.55</v>
      </c>
      <c r="J2" s="61" t="n">
        <f aca="true">NOW()</f>
        <v>46139.4171948703</v>
      </c>
    </row>
    <row r="3" customFormat="false" ht="15" hidden="false" customHeight="false" outlineLevel="0" collapsed="false">
      <c r="A3" s="25" t="s">
        <v>83</v>
      </c>
      <c r="B3" s="25" t="s">
        <v>84</v>
      </c>
      <c r="C3" s="25" t="s">
        <v>14</v>
      </c>
      <c r="D3" s="25" t="s">
        <v>29</v>
      </c>
      <c r="E3" s="62" t="n">
        <v>1101.28</v>
      </c>
      <c r="F3" s="25" t="n">
        <v>3</v>
      </c>
      <c r="G3" s="63" t="n">
        <v>0.2</v>
      </c>
      <c r="H3" s="64" t="n">
        <v>45393</v>
      </c>
      <c r="I3" s="62" t="n">
        <v>440.51</v>
      </c>
      <c r="J3" s="61" t="n">
        <f aca="true">NOW()</f>
        <v>46139.4171948697</v>
      </c>
    </row>
    <row r="4" customFormat="false" ht="15" hidden="false" customHeight="false" outlineLevel="0" collapsed="false">
      <c r="A4" s="57" t="s">
        <v>85</v>
      </c>
      <c r="B4" s="57" t="s">
        <v>86</v>
      </c>
      <c r="C4" s="57" t="s">
        <v>34</v>
      </c>
      <c r="D4" s="57" t="s">
        <v>15</v>
      </c>
      <c r="E4" s="58" t="n">
        <v>713.34</v>
      </c>
      <c r="F4" s="57" t="n">
        <v>17</v>
      </c>
      <c r="G4" s="59" t="n">
        <v>0</v>
      </c>
      <c r="H4" s="60" t="n">
        <v>45396</v>
      </c>
      <c r="I4" s="58" t="n">
        <v>285.34</v>
      </c>
      <c r="J4" s="61" t="n">
        <f aca="true">NOW()</f>
        <v>46139.4171948718</v>
      </c>
    </row>
    <row r="5" customFormat="false" ht="15" hidden="false" customHeight="false" outlineLevel="0" collapsed="false">
      <c r="A5" s="25" t="s">
        <v>87</v>
      </c>
      <c r="B5" s="25" t="s">
        <v>84</v>
      </c>
      <c r="C5" s="25" t="s">
        <v>30</v>
      </c>
      <c r="D5" s="25" t="s">
        <v>31</v>
      </c>
      <c r="E5" s="62" t="n">
        <v>760.93</v>
      </c>
      <c r="F5" s="25" t="n">
        <v>4</v>
      </c>
      <c r="G5" s="63" t="n">
        <v>0.15</v>
      </c>
      <c r="H5" s="64" t="n">
        <v>45396</v>
      </c>
      <c r="I5" s="62" t="n">
        <v>161.7</v>
      </c>
      <c r="J5" s="61" t="n">
        <f aca="true">NOW()</f>
        <v>46139.4171948698</v>
      </c>
    </row>
    <row r="6" customFormat="false" ht="15" hidden="false" customHeight="false" outlineLevel="0" collapsed="false">
      <c r="A6" s="57" t="s">
        <v>88</v>
      </c>
      <c r="B6" s="57" t="s">
        <v>89</v>
      </c>
      <c r="C6" s="57" t="s">
        <v>32</v>
      </c>
      <c r="D6" s="57" t="s">
        <v>15</v>
      </c>
      <c r="E6" s="58" t="n">
        <v>847</v>
      </c>
      <c r="F6" s="57" t="n">
        <v>12</v>
      </c>
      <c r="G6" s="59" t="n">
        <v>0.2</v>
      </c>
      <c r="H6" s="60" t="n">
        <v>45397</v>
      </c>
      <c r="I6" s="58" t="n">
        <v>271.04</v>
      </c>
      <c r="J6" s="61" t="n">
        <f aca="true">NOW()</f>
        <v>46139.4171948718</v>
      </c>
    </row>
    <row r="7" customFormat="false" ht="15" hidden="false" customHeight="false" outlineLevel="0" collapsed="false">
      <c r="A7" s="25" t="s">
        <v>90</v>
      </c>
      <c r="B7" s="25" t="s">
        <v>91</v>
      </c>
      <c r="C7" s="25" t="s">
        <v>32</v>
      </c>
      <c r="D7" s="25" t="s">
        <v>33</v>
      </c>
      <c r="E7" s="62" t="n">
        <v>965.64</v>
      </c>
      <c r="F7" s="25" t="n">
        <v>8</v>
      </c>
      <c r="G7" s="63" t="n">
        <v>0.1</v>
      </c>
      <c r="H7" s="64" t="n">
        <v>45398</v>
      </c>
      <c r="I7" s="62" t="n">
        <v>304.18</v>
      </c>
      <c r="J7" s="61" t="n">
        <f aca="true">NOW()</f>
        <v>46139.4171948698</v>
      </c>
    </row>
    <row r="8" customFormat="false" ht="15" hidden="false" customHeight="false" outlineLevel="0" collapsed="false">
      <c r="A8" s="57" t="s">
        <v>92</v>
      </c>
      <c r="B8" s="57" t="s">
        <v>93</v>
      </c>
      <c r="C8" s="57" t="s">
        <v>14</v>
      </c>
      <c r="D8" s="57" t="s">
        <v>31</v>
      </c>
      <c r="E8" s="58" t="n">
        <v>1317.53</v>
      </c>
      <c r="F8" s="57" t="n">
        <v>12</v>
      </c>
      <c r="G8" s="59" t="n">
        <v>0.05</v>
      </c>
      <c r="H8" s="60" t="n">
        <v>45398</v>
      </c>
      <c r="I8" s="58" t="n">
        <v>312.91</v>
      </c>
      <c r="J8" s="61" t="n">
        <f aca="true">NOW()</f>
        <v>46139.4171948718</v>
      </c>
    </row>
    <row r="9" customFormat="false" ht="15" hidden="false" customHeight="false" outlineLevel="0" collapsed="false">
      <c r="A9" s="25" t="s">
        <v>94</v>
      </c>
      <c r="B9" s="25" t="s">
        <v>95</v>
      </c>
      <c r="C9" s="25" t="s">
        <v>34</v>
      </c>
      <c r="D9" s="25" t="s">
        <v>33</v>
      </c>
      <c r="E9" s="62" t="n">
        <v>1074.47</v>
      </c>
      <c r="F9" s="25" t="n">
        <v>6</v>
      </c>
      <c r="G9" s="63" t="n">
        <v>0.2</v>
      </c>
      <c r="H9" s="64" t="n">
        <v>45401</v>
      </c>
      <c r="I9" s="62" t="n">
        <v>300.85</v>
      </c>
      <c r="J9" s="61" t="n">
        <f aca="true">NOW()</f>
        <v>46139.4171948698</v>
      </c>
    </row>
    <row r="10" customFormat="false" ht="15" hidden="false" customHeight="false" outlineLevel="0" collapsed="false">
      <c r="A10" s="57" t="s">
        <v>96</v>
      </c>
      <c r="B10" s="57" t="s">
        <v>97</v>
      </c>
      <c r="C10" s="57" t="s">
        <v>28</v>
      </c>
      <c r="D10" s="57" t="s">
        <v>15</v>
      </c>
      <c r="E10" s="58" t="n">
        <v>501.54</v>
      </c>
      <c r="F10" s="57" t="n">
        <v>11</v>
      </c>
      <c r="G10" s="59" t="n">
        <v>0.05</v>
      </c>
      <c r="H10" s="60" t="n">
        <v>45401</v>
      </c>
      <c r="I10" s="58" t="n">
        <v>190.59</v>
      </c>
      <c r="J10" s="61" t="n">
        <f aca="true">NOW()</f>
        <v>46139.4171948718</v>
      </c>
    </row>
    <row r="11" customFormat="false" ht="15" hidden="false" customHeight="false" outlineLevel="0" collapsed="false">
      <c r="A11" s="25" t="s">
        <v>98</v>
      </c>
      <c r="B11" s="25" t="s">
        <v>99</v>
      </c>
      <c r="C11" s="25" t="s">
        <v>28</v>
      </c>
      <c r="D11" s="25" t="s">
        <v>29</v>
      </c>
      <c r="E11" s="62" t="n">
        <v>737.31</v>
      </c>
      <c r="F11" s="25" t="n">
        <v>2</v>
      </c>
      <c r="G11" s="63" t="n">
        <v>0.05</v>
      </c>
      <c r="H11" s="64" t="n">
        <v>45401</v>
      </c>
      <c r="I11" s="62" t="n">
        <v>350.22</v>
      </c>
      <c r="J11" s="61" t="n">
        <f aca="true">NOW()</f>
        <v>46139.4171948698</v>
      </c>
    </row>
    <row r="12" customFormat="false" ht="15" hidden="false" customHeight="false" outlineLevel="0" collapsed="false">
      <c r="A12" s="57" t="s">
        <v>100</v>
      </c>
      <c r="B12" s="57" t="s">
        <v>101</v>
      </c>
      <c r="C12" s="57" t="s">
        <v>14</v>
      </c>
      <c r="D12" s="57" t="s">
        <v>35</v>
      </c>
      <c r="E12" s="58" t="n">
        <v>1572.82</v>
      </c>
      <c r="F12" s="57" t="n">
        <v>6</v>
      </c>
      <c r="G12" s="59" t="n">
        <v>0.05</v>
      </c>
      <c r="H12" s="60" t="n">
        <v>45402</v>
      </c>
      <c r="I12" s="58" t="n">
        <v>672.38</v>
      </c>
      <c r="J12" s="61" t="n">
        <f aca="true">NOW()</f>
        <v>46139.4171948718</v>
      </c>
    </row>
    <row r="13" customFormat="false" ht="15" hidden="false" customHeight="false" outlineLevel="0" collapsed="false">
      <c r="A13" s="25" t="s">
        <v>100</v>
      </c>
      <c r="B13" s="25" t="s">
        <v>99</v>
      </c>
      <c r="C13" s="25" t="s">
        <v>28</v>
      </c>
      <c r="D13" s="25" t="s">
        <v>15</v>
      </c>
      <c r="E13" s="62" t="n">
        <v>1343.13</v>
      </c>
      <c r="F13" s="25" t="n">
        <v>14</v>
      </c>
      <c r="G13" s="63" t="n">
        <v>0.15</v>
      </c>
      <c r="H13" s="64" t="n">
        <v>45404</v>
      </c>
      <c r="I13" s="62" t="n">
        <v>456.66</v>
      </c>
      <c r="J13" s="61" t="n">
        <f aca="true">NOW()</f>
        <v>46139.4171948698</v>
      </c>
    </row>
    <row r="14" customFormat="false" ht="15" hidden="false" customHeight="false" outlineLevel="0" collapsed="false">
      <c r="A14" s="57" t="s">
        <v>90</v>
      </c>
      <c r="B14" s="57" t="s">
        <v>91</v>
      </c>
      <c r="C14" s="57" t="s">
        <v>28</v>
      </c>
      <c r="D14" s="57" t="s">
        <v>15</v>
      </c>
      <c r="E14" s="58" t="n">
        <v>1191.58</v>
      </c>
      <c r="F14" s="57" t="n">
        <v>14</v>
      </c>
      <c r="G14" s="59" t="n">
        <v>0.05</v>
      </c>
      <c r="H14" s="60" t="n">
        <v>45406</v>
      </c>
      <c r="I14" s="58" t="n">
        <v>452.8</v>
      </c>
      <c r="J14" s="61" t="n">
        <f aca="true">NOW()</f>
        <v>46139.4171948718</v>
      </c>
    </row>
    <row r="15" customFormat="false" ht="15" hidden="false" customHeight="false" outlineLevel="0" collapsed="false">
      <c r="A15" s="25" t="s">
        <v>102</v>
      </c>
      <c r="B15" s="25" t="s">
        <v>84</v>
      </c>
      <c r="C15" s="25" t="s">
        <v>14</v>
      </c>
      <c r="D15" s="25" t="s">
        <v>33</v>
      </c>
      <c r="E15" s="62" t="n">
        <v>822.28</v>
      </c>
      <c r="F15" s="25" t="n">
        <v>7</v>
      </c>
      <c r="G15" s="63" t="n">
        <v>0.05</v>
      </c>
      <c r="H15" s="64" t="n">
        <v>45406</v>
      </c>
      <c r="I15" s="62" t="n">
        <v>273.41</v>
      </c>
      <c r="J15" s="61" t="n">
        <f aca="true">NOW()</f>
        <v>46139.4171948698</v>
      </c>
    </row>
    <row r="16" customFormat="false" ht="15" hidden="false" customHeight="false" outlineLevel="0" collapsed="false">
      <c r="A16" s="57" t="s">
        <v>103</v>
      </c>
      <c r="B16" s="57" t="s">
        <v>104</v>
      </c>
      <c r="C16" s="57" t="s">
        <v>32</v>
      </c>
      <c r="D16" s="57" t="s">
        <v>33</v>
      </c>
      <c r="E16" s="58" t="n">
        <v>521.67</v>
      </c>
      <c r="F16" s="57" t="n">
        <v>15</v>
      </c>
      <c r="G16" s="59" t="n">
        <v>0.15</v>
      </c>
      <c r="H16" s="60" t="n">
        <v>45409</v>
      </c>
      <c r="I16" s="58" t="n">
        <v>155.2</v>
      </c>
      <c r="J16" s="61" t="n">
        <f aca="true">NOW()</f>
        <v>46139.4171948718</v>
      </c>
    </row>
    <row r="17" customFormat="false" ht="15" hidden="false" customHeight="false" outlineLevel="0" collapsed="false">
      <c r="A17" s="25" t="s">
        <v>87</v>
      </c>
      <c r="B17" s="25" t="s">
        <v>105</v>
      </c>
      <c r="C17" s="25" t="s">
        <v>30</v>
      </c>
      <c r="D17" s="25" t="s">
        <v>31</v>
      </c>
      <c r="E17" s="62" t="n">
        <v>1502.93</v>
      </c>
      <c r="F17" s="25" t="n">
        <v>14</v>
      </c>
      <c r="G17" s="63" t="n">
        <v>0.2</v>
      </c>
      <c r="H17" s="64" t="n">
        <v>45410</v>
      </c>
      <c r="I17" s="62" t="n">
        <v>300.59</v>
      </c>
      <c r="J17" s="61" t="n">
        <f aca="true">NOW()</f>
        <v>46139.4171948698</v>
      </c>
    </row>
    <row r="18" customFormat="false" ht="15" hidden="false" customHeight="false" outlineLevel="0" collapsed="false">
      <c r="A18" s="57" t="s">
        <v>106</v>
      </c>
      <c r="B18" s="57" t="s">
        <v>84</v>
      </c>
      <c r="C18" s="57" t="s">
        <v>30</v>
      </c>
      <c r="D18" s="57" t="s">
        <v>15</v>
      </c>
      <c r="E18" s="58" t="n">
        <v>877.58</v>
      </c>
      <c r="F18" s="57" t="n">
        <v>10</v>
      </c>
      <c r="G18" s="59" t="n">
        <v>0.15</v>
      </c>
      <c r="H18" s="60" t="n">
        <v>45411</v>
      </c>
      <c r="I18" s="58" t="n">
        <v>298.38</v>
      </c>
      <c r="J18" s="61" t="n">
        <f aca="true">NOW()</f>
        <v>46139.4171948718</v>
      </c>
    </row>
    <row r="19" customFormat="false" ht="15" hidden="false" customHeight="false" outlineLevel="0" collapsed="false">
      <c r="A19" s="25" t="s">
        <v>92</v>
      </c>
      <c r="B19" s="25" t="s">
        <v>107</v>
      </c>
      <c r="C19" s="25" t="s">
        <v>14</v>
      </c>
      <c r="D19" s="25" t="s">
        <v>15</v>
      </c>
      <c r="E19" s="62" t="n">
        <v>636.7</v>
      </c>
      <c r="F19" s="25" t="n">
        <v>4</v>
      </c>
      <c r="G19" s="63" t="n">
        <v>0.2</v>
      </c>
      <c r="H19" s="64" t="n">
        <v>45411</v>
      </c>
      <c r="I19" s="62" t="n">
        <v>203.74</v>
      </c>
      <c r="J19" s="61" t="n">
        <f aca="true">NOW()</f>
        <v>46139.4171948698</v>
      </c>
    </row>
    <row r="20" customFormat="false" ht="15" hidden="false" customHeight="false" outlineLevel="0" collapsed="false">
      <c r="A20" s="57" t="s">
        <v>108</v>
      </c>
      <c r="B20" s="57" t="s">
        <v>109</v>
      </c>
      <c r="C20" s="57" t="s">
        <v>14</v>
      </c>
      <c r="D20" s="57" t="s">
        <v>15</v>
      </c>
      <c r="E20" s="58" t="n">
        <v>1506.14</v>
      </c>
      <c r="F20" s="57" t="n">
        <v>13</v>
      </c>
      <c r="G20" s="59" t="n">
        <v>0.2</v>
      </c>
      <c r="H20" s="60" t="n">
        <v>45412</v>
      </c>
      <c r="I20" s="58" t="n">
        <v>481.96</v>
      </c>
      <c r="J20" s="61" t="n">
        <f aca="true">NOW()</f>
        <v>46139.4171948718</v>
      </c>
    </row>
    <row r="21" customFormat="false" ht="15.75" hidden="false" customHeight="true" outlineLevel="0" collapsed="false">
      <c r="A21" s="25" t="s">
        <v>94</v>
      </c>
      <c r="B21" s="25" t="s">
        <v>95</v>
      </c>
      <c r="C21" s="25" t="s">
        <v>28</v>
      </c>
      <c r="D21" s="25" t="s">
        <v>31</v>
      </c>
      <c r="E21" s="62" t="n">
        <v>645.02</v>
      </c>
      <c r="F21" s="25" t="n">
        <v>4</v>
      </c>
      <c r="G21" s="63" t="n">
        <v>0</v>
      </c>
      <c r="H21" s="64" t="n">
        <v>45414</v>
      </c>
      <c r="I21" s="62" t="n">
        <v>161.26</v>
      </c>
      <c r="J21" s="61" t="n">
        <f aca="true">NOW()</f>
        <v>46139.4171948699</v>
      </c>
    </row>
    <row r="22" customFormat="false" ht="15.75" hidden="false" customHeight="true" outlineLevel="0" collapsed="false">
      <c r="A22" s="57" t="s">
        <v>90</v>
      </c>
      <c r="B22" s="57" t="s">
        <v>110</v>
      </c>
      <c r="C22" s="57" t="s">
        <v>30</v>
      </c>
      <c r="D22" s="57" t="s">
        <v>29</v>
      </c>
      <c r="E22" s="58" t="n">
        <v>953.3</v>
      </c>
      <c r="F22" s="57" t="n">
        <v>11</v>
      </c>
      <c r="G22" s="59" t="n">
        <v>0</v>
      </c>
      <c r="H22" s="60" t="n">
        <v>45415</v>
      </c>
      <c r="I22" s="58" t="n">
        <v>476.65</v>
      </c>
      <c r="J22" s="61" t="n">
        <f aca="true">NOW()</f>
        <v>46139.4171948718</v>
      </c>
    </row>
    <row r="23" customFormat="false" ht="15.75" hidden="false" customHeight="true" outlineLevel="0" collapsed="false">
      <c r="A23" s="25" t="s">
        <v>111</v>
      </c>
      <c r="B23" s="25" t="s">
        <v>84</v>
      </c>
      <c r="C23" s="25" t="s">
        <v>32</v>
      </c>
      <c r="D23" s="25" t="s">
        <v>31</v>
      </c>
      <c r="E23" s="62" t="n">
        <v>388.56</v>
      </c>
      <c r="F23" s="25" t="n">
        <v>14</v>
      </c>
      <c r="G23" s="63" t="n">
        <v>0.15</v>
      </c>
      <c r="H23" s="64" t="n">
        <v>45416</v>
      </c>
      <c r="I23" s="62" t="n">
        <v>82.57</v>
      </c>
      <c r="J23" s="61" t="n">
        <f aca="true">NOW()</f>
        <v>46139.4171948699</v>
      </c>
    </row>
    <row r="24" customFormat="false" ht="15.75" hidden="false" customHeight="true" outlineLevel="0" collapsed="false">
      <c r="A24" s="57" t="s">
        <v>81</v>
      </c>
      <c r="B24" s="57" t="s">
        <v>95</v>
      </c>
      <c r="C24" s="57" t="s">
        <v>14</v>
      </c>
      <c r="D24" s="57" t="s">
        <v>15</v>
      </c>
      <c r="E24" s="58" t="n">
        <v>743.17</v>
      </c>
      <c r="F24" s="57" t="n">
        <v>9</v>
      </c>
      <c r="G24" s="59" t="n">
        <v>0</v>
      </c>
      <c r="H24" s="60" t="n">
        <v>45416</v>
      </c>
      <c r="I24" s="58" t="n">
        <v>297.27</v>
      </c>
      <c r="J24" s="61" t="n">
        <f aca="true">NOW()</f>
        <v>46139.4171948718</v>
      </c>
    </row>
    <row r="25" customFormat="false" ht="15.75" hidden="false" customHeight="true" outlineLevel="0" collapsed="false">
      <c r="A25" s="25" t="s">
        <v>102</v>
      </c>
      <c r="B25" s="25" t="s">
        <v>95</v>
      </c>
      <c r="C25" s="25" t="s">
        <v>28</v>
      </c>
      <c r="D25" s="25" t="s">
        <v>31</v>
      </c>
      <c r="E25" s="62" t="n">
        <v>706.37</v>
      </c>
      <c r="F25" s="25" t="n">
        <v>6</v>
      </c>
      <c r="G25" s="63" t="n">
        <v>0</v>
      </c>
      <c r="H25" s="64" t="n">
        <v>45416</v>
      </c>
      <c r="I25" s="62" t="n">
        <v>176.59</v>
      </c>
      <c r="J25" s="61" t="n">
        <f aca="true">NOW()</f>
        <v>46139.4171948699</v>
      </c>
    </row>
    <row r="26" customFormat="false" ht="15.75" hidden="false" customHeight="true" outlineLevel="0" collapsed="false">
      <c r="A26" s="57" t="s">
        <v>83</v>
      </c>
      <c r="B26" s="57" t="s">
        <v>95</v>
      </c>
      <c r="C26" s="57" t="s">
        <v>28</v>
      </c>
      <c r="D26" s="57" t="s">
        <v>35</v>
      </c>
      <c r="E26" s="58" t="n">
        <v>925.31</v>
      </c>
      <c r="F26" s="57" t="n">
        <v>8</v>
      </c>
      <c r="G26" s="59" t="n">
        <v>0.1</v>
      </c>
      <c r="H26" s="60" t="n">
        <v>45418</v>
      </c>
      <c r="I26" s="58" t="n">
        <v>374.75</v>
      </c>
      <c r="J26" s="61" t="n">
        <f aca="true">NOW()</f>
        <v>46139.4171948718</v>
      </c>
    </row>
    <row r="27" customFormat="false" ht="15.75" hidden="false" customHeight="true" outlineLevel="0" collapsed="false">
      <c r="A27" s="25" t="s">
        <v>98</v>
      </c>
      <c r="B27" s="25" t="s">
        <v>112</v>
      </c>
      <c r="C27" s="25" t="s">
        <v>30</v>
      </c>
      <c r="D27" s="25" t="s">
        <v>31</v>
      </c>
      <c r="E27" s="62" t="n">
        <v>1173.12</v>
      </c>
      <c r="F27" s="25" t="n">
        <v>18</v>
      </c>
      <c r="G27" s="63" t="n">
        <v>0</v>
      </c>
      <c r="H27" s="64" t="n">
        <v>45418</v>
      </c>
      <c r="I27" s="62" t="n">
        <v>293.28</v>
      </c>
      <c r="J27" s="61" t="n">
        <f aca="true">NOW()</f>
        <v>46139.4171948699</v>
      </c>
    </row>
    <row r="28" customFormat="false" ht="15.75" hidden="false" customHeight="true" outlineLevel="0" collapsed="false">
      <c r="A28" s="57" t="s">
        <v>88</v>
      </c>
      <c r="B28" s="57" t="s">
        <v>113</v>
      </c>
      <c r="C28" s="57" t="s">
        <v>32</v>
      </c>
      <c r="D28" s="57" t="s">
        <v>33</v>
      </c>
      <c r="E28" s="58" t="n">
        <v>675.54</v>
      </c>
      <c r="F28" s="57" t="n">
        <v>17</v>
      </c>
      <c r="G28" s="59" t="n">
        <v>0</v>
      </c>
      <c r="H28" s="60" t="n">
        <v>45420</v>
      </c>
      <c r="I28" s="58" t="n">
        <v>236.44</v>
      </c>
      <c r="J28" s="61" t="n">
        <f aca="true">NOW()</f>
        <v>46139.4171948719</v>
      </c>
    </row>
    <row r="29" customFormat="false" ht="15.75" hidden="false" customHeight="true" outlineLevel="0" collapsed="false">
      <c r="A29" s="25" t="s">
        <v>90</v>
      </c>
      <c r="B29" s="25" t="s">
        <v>84</v>
      </c>
      <c r="C29" s="25" t="s">
        <v>28</v>
      </c>
      <c r="D29" s="25" t="s">
        <v>15</v>
      </c>
      <c r="E29" s="62" t="n">
        <v>939.09</v>
      </c>
      <c r="F29" s="25" t="n">
        <v>2</v>
      </c>
      <c r="G29" s="63" t="n">
        <v>0.05</v>
      </c>
      <c r="H29" s="64" t="n">
        <v>45422</v>
      </c>
      <c r="I29" s="62" t="n">
        <v>356.85</v>
      </c>
      <c r="J29" s="61" t="n">
        <f aca="true">NOW()</f>
        <v>46139.4171948699</v>
      </c>
    </row>
    <row r="30" customFormat="false" ht="15.75" hidden="false" customHeight="true" outlineLevel="0" collapsed="false">
      <c r="A30" s="57" t="s">
        <v>114</v>
      </c>
      <c r="B30" s="57" t="s">
        <v>115</v>
      </c>
      <c r="C30" s="57" t="s">
        <v>34</v>
      </c>
      <c r="D30" s="57" t="s">
        <v>35</v>
      </c>
      <c r="E30" s="58" t="n">
        <v>983.34</v>
      </c>
      <c r="F30" s="57" t="n">
        <v>19</v>
      </c>
      <c r="G30" s="59" t="n">
        <v>0.1</v>
      </c>
      <c r="H30" s="60" t="n">
        <v>45426</v>
      </c>
      <c r="I30" s="58" t="n">
        <v>398.25</v>
      </c>
      <c r="J30" s="61" t="n">
        <f aca="true">NOW()</f>
        <v>46139.4171948719</v>
      </c>
    </row>
    <row r="31" customFormat="false" ht="15.75" hidden="false" customHeight="true" outlineLevel="0" collapsed="false">
      <c r="A31" s="25" t="s">
        <v>114</v>
      </c>
      <c r="B31" s="25" t="s">
        <v>89</v>
      </c>
      <c r="C31" s="25" t="s">
        <v>30</v>
      </c>
      <c r="D31" s="25" t="s">
        <v>31</v>
      </c>
      <c r="E31" s="62" t="n">
        <v>801.21</v>
      </c>
      <c r="F31" s="25" t="n">
        <v>3</v>
      </c>
      <c r="G31" s="63" t="n">
        <v>0.2</v>
      </c>
      <c r="H31" s="64" t="n">
        <v>45426</v>
      </c>
      <c r="I31" s="62" t="n">
        <v>160.24</v>
      </c>
      <c r="J31" s="61" t="n">
        <f aca="true">NOW()</f>
        <v>46139.4171948699</v>
      </c>
    </row>
    <row r="32" customFormat="false" ht="15.75" hidden="false" customHeight="true" outlineLevel="0" collapsed="false">
      <c r="A32" s="57" t="s">
        <v>116</v>
      </c>
      <c r="B32" s="57" t="s">
        <v>117</v>
      </c>
      <c r="C32" s="57" t="s">
        <v>32</v>
      </c>
      <c r="D32" s="57" t="s">
        <v>31</v>
      </c>
      <c r="E32" s="58" t="n">
        <v>1450.71</v>
      </c>
      <c r="F32" s="57" t="n">
        <v>5</v>
      </c>
      <c r="G32" s="59" t="n">
        <v>0.1</v>
      </c>
      <c r="H32" s="60" t="n">
        <v>45427</v>
      </c>
      <c r="I32" s="58" t="n">
        <v>326.41</v>
      </c>
      <c r="J32" s="61" t="n">
        <f aca="true">NOW()</f>
        <v>46139.417194872</v>
      </c>
    </row>
    <row r="33" customFormat="false" ht="15.75" hidden="false" customHeight="true" outlineLevel="0" collapsed="false">
      <c r="A33" s="25" t="s">
        <v>111</v>
      </c>
      <c r="B33" s="25" t="s">
        <v>118</v>
      </c>
      <c r="C33" s="25" t="s">
        <v>28</v>
      </c>
      <c r="D33" s="25" t="s">
        <v>15</v>
      </c>
      <c r="E33" s="62" t="n">
        <v>1023.21</v>
      </c>
      <c r="F33" s="25" t="n">
        <v>18</v>
      </c>
      <c r="G33" s="63" t="n">
        <v>0.05</v>
      </c>
      <c r="H33" s="64" t="n">
        <v>45428</v>
      </c>
      <c r="I33" s="62" t="n">
        <v>388.82</v>
      </c>
      <c r="J33" s="61" t="n">
        <f aca="true">NOW()</f>
        <v>46139.41719487</v>
      </c>
    </row>
    <row r="34" customFormat="false" ht="15.75" hidden="false" customHeight="true" outlineLevel="0" collapsed="false">
      <c r="A34" s="57" t="s">
        <v>92</v>
      </c>
      <c r="B34" s="57" t="s">
        <v>109</v>
      </c>
      <c r="C34" s="57" t="s">
        <v>14</v>
      </c>
      <c r="D34" s="57" t="s">
        <v>33</v>
      </c>
      <c r="E34" s="58" t="n">
        <v>853.72</v>
      </c>
      <c r="F34" s="57" t="n">
        <v>5</v>
      </c>
      <c r="G34" s="59" t="n">
        <v>0.15</v>
      </c>
      <c r="H34" s="60" t="n">
        <v>45428</v>
      </c>
      <c r="I34" s="58" t="n">
        <v>253.98</v>
      </c>
      <c r="J34" s="61" t="n">
        <f aca="true">NOW()</f>
        <v>46139.417194872</v>
      </c>
    </row>
    <row r="35" customFormat="false" ht="15.75" hidden="false" customHeight="true" outlineLevel="0" collapsed="false">
      <c r="A35" s="25" t="s">
        <v>119</v>
      </c>
      <c r="B35" s="25" t="s">
        <v>105</v>
      </c>
      <c r="C35" s="25" t="s">
        <v>30</v>
      </c>
      <c r="D35" s="25" t="s">
        <v>31</v>
      </c>
      <c r="E35" s="62" t="n">
        <v>967.89</v>
      </c>
      <c r="F35" s="25" t="n">
        <v>10</v>
      </c>
      <c r="G35" s="63" t="n">
        <v>0.1</v>
      </c>
      <c r="H35" s="64" t="n">
        <v>45429</v>
      </c>
      <c r="I35" s="62" t="n">
        <v>217.78</v>
      </c>
      <c r="J35" s="61" t="n">
        <f aca="true">NOW()</f>
        <v>46139.41719487</v>
      </c>
    </row>
    <row r="36" customFormat="false" ht="15.75" hidden="false" customHeight="true" outlineLevel="0" collapsed="false">
      <c r="A36" s="57" t="s">
        <v>120</v>
      </c>
      <c r="B36" s="57" t="s">
        <v>115</v>
      </c>
      <c r="C36" s="57" t="s">
        <v>32</v>
      </c>
      <c r="D36" s="57" t="s">
        <v>35</v>
      </c>
      <c r="E36" s="58" t="n">
        <v>1200.9</v>
      </c>
      <c r="F36" s="57" t="n">
        <v>14</v>
      </c>
      <c r="G36" s="59" t="n">
        <v>0.05</v>
      </c>
      <c r="H36" s="60" t="n">
        <v>45429</v>
      </c>
      <c r="I36" s="58" t="n">
        <v>513.38</v>
      </c>
      <c r="J36" s="61" t="n">
        <f aca="true">NOW()</f>
        <v>46139.417194872</v>
      </c>
    </row>
    <row r="37" customFormat="false" ht="15.75" hidden="false" customHeight="true" outlineLevel="0" collapsed="false">
      <c r="A37" s="25" t="s">
        <v>83</v>
      </c>
      <c r="B37" s="25" t="s">
        <v>91</v>
      </c>
      <c r="C37" s="25" t="s">
        <v>14</v>
      </c>
      <c r="D37" s="25" t="s">
        <v>15</v>
      </c>
      <c r="E37" s="62" t="n">
        <v>472.38</v>
      </c>
      <c r="F37" s="25" t="n">
        <v>12</v>
      </c>
      <c r="G37" s="63" t="n">
        <v>0.2</v>
      </c>
      <c r="H37" s="64" t="n">
        <v>45429</v>
      </c>
      <c r="I37" s="62" t="n">
        <v>151.16</v>
      </c>
      <c r="J37" s="61" t="n">
        <f aca="true">NOW()</f>
        <v>46139.41719487</v>
      </c>
    </row>
    <row r="38" customFormat="false" ht="15.75" hidden="false" customHeight="true" outlineLevel="0" collapsed="false">
      <c r="A38" s="57" t="s">
        <v>81</v>
      </c>
      <c r="B38" s="57" t="s">
        <v>117</v>
      </c>
      <c r="C38" s="57" t="s">
        <v>34</v>
      </c>
      <c r="D38" s="57" t="s">
        <v>35</v>
      </c>
      <c r="E38" s="58" t="n">
        <v>840.92</v>
      </c>
      <c r="F38" s="57" t="n">
        <v>9</v>
      </c>
      <c r="G38" s="59" t="n">
        <v>0.05</v>
      </c>
      <c r="H38" s="60" t="n">
        <v>45429</v>
      </c>
      <c r="I38" s="58" t="n">
        <v>359.49</v>
      </c>
      <c r="J38" s="61" t="n">
        <f aca="true">NOW()</f>
        <v>46139.417194872</v>
      </c>
    </row>
    <row r="39" customFormat="false" ht="15.75" hidden="false" customHeight="true" outlineLevel="0" collapsed="false">
      <c r="A39" s="25" t="s">
        <v>114</v>
      </c>
      <c r="B39" s="25" t="s">
        <v>110</v>
      </c>
      <c r="C39" s="25" t="s">
        <v>28</v>
      </c>
      <c r="D39" s="25" t="s">
        <v>33</v>
      </c>
      <c r="E39" s="62" t="n">
        <v>1410.06</v>
      </c>
      <c r="F39" s="25" t="n">
        <v>11</v>
      </c>
      <c r="G39" s="63" t="n">
        <v>0.05</v>
      </c>
      <c r="H39" s="64" t="n">
        <v>45434</v>
      </c>
      <c r="I39" s="62" t="n">
        <v>468.84</v>
      </c>
      <c r="J39" s="61" t="n">
        <f aca="true">NOW()</f>
        <v>46139.41719487</v>
      </c>
    </row>
    <row r="40" customFormat="false" ht="15.75" hidden="false" customHeight="true" outlineLevel="0" collapsed="false">
      <c r="A40" s="57" t="s">
        <v>106</v>
      </c>
      <c r="B40" s="57" t="s">
        <v>121</v>
      </c>
      <c r="C40" s="57" t="s">
        <v>28</v>
      </c>
      <c r="D40" s="57" t="s">
        <v>33</v>
      </c>
      <c r="E40" s="58" t="n">
        <v>773.09</v>
      </c>
      <c r="F40" s="57" t="n">
        <v>13</v>
      </c>
      <c r="G40" s="59" t="n">
        <v>0.15</v>
      </c>
      <c r="H40" s="60" t="n">
        <v>45434</v>
      </c>
      <c r="I40" s="58" t="n">
        <v>229.99</v>
      </c>
      <c r="J40" s="61" t="n">
        <f aca="true">NOW()</f>
        <v>46139.417194872</v>
      </c>
    </row>
    <row r="41" customFormat="false" ht="15.75" hidden="false" customHeight="true" outlineLevel="0" collapsed="false">
      <c r="A41" s="25" t="s">
        <v>122</v>
      </c>
      <c r="B41" s="25" t="s">
        <v>123</v>
      </c>
      <c r="C41" s="25" t="s">
        <v>34</v>
      </c>
      <c r="D41" s="25" t="s">
        <v>15</v>
      </c>
      <c r="E41" s="62" t="n">
        <v>580.43</v>
      </c>
      <c r="F41" s="25" t="n">
        <v>19</v>
      </c>
      <c r="G41" s="63" t="n">
        <v>0.15</v>
      </c>
      <c r="H41" s="64" t="n">
        <v>45435</v>
      </c>
      <c r="I41" s="62" t="n">
        <v>197.35</v>
      </c>
      <c r="J41" s="61" t="n">
        <f aca="true">NOW()</f>
        <v>46139.41719487</v>
      </c>
    </row>
    <row r="42" customFormat="false" ht="15.75" hidden="false" customHeight="true" outlineLevel="0" collapsed="false">
      <c r="A42" s="57" t="s">
        <v>87</v>
      </c>
      <c r="B42" s="57" t="s">
        <v>104</v>
      </c>
      <c r="C42" s="57" t="s">
        <v>30</v>
      </c>
      <c r="D42" s="57" t="s">
        <v>15</v>
      </c>
      <c r="E42" s="58" t="n">
        <v>1151.21</v>
      </c>
      <c r="F42" s="57" t="n">
        <v>15</v>
      </c>
      <c r="G42" s="59" t="n">
        <v>0.1</v>
      </c>
      <c r="H42" s="60" t="n">
        <v>45445</v>
      </c>
      <c r="I42" s="58" t="n">
        <v>414.44</v>
      </c>
      <c r="J42" s="61" t="n">
        <f aca="true">NOW()</f>
        <v>46139.417194872</v>
      </c>
    </row>
    <row r="43" customFormat="false" ht="15.75" hidden="false" customHeight="true" outlineLevel="0" collapsed="false">
      <c r="A43" s="25" t="s">
        <v>114</v>
      </c>
      <c r="B43" s="25" t="s">
        <v>89</v>
      </c>
      <c r="C43" s="25" t="s">
        <v>28</v>
      </c>
      <c r="D43" s="25" t="s">
        <v>35</v>
      </c>
      <c r="E43" s="62" t="n">
        <v>1025.98</v>
      </c>
      <c r="F43" s="25" t="n">
        <v>5</v>
      </c>
      <c r="G43" s="63" t="n">
        <v>0.2</v>
      </c>
      <c r="H43" s="64" t="n">
        <v>45447</v>
      </c>
      <c r="I43" s="62" t="n">
        <v>369.35</v>
      </c>
      <c r="J43" s="61" t="n">
        <f aca="true">NOW()</f>
        <v>46139.41719487</v>
      </c>
    </row>
    <row r="44" customFormat="false" ht="15.75" hidden="false" customHeight="true" outlineLevel="0" collapsed="false">
      <c r="A44" s="57" t="s">
        <v>102</v>
      </c>
      <c r="B44" s="57" t="s">
        <v>118</v>
      </c>
      <c r="C44" s="57" t="s">
        <v>34</v>
      </c>
      <c r="D44" s="57" t="s">
        <v>35</v>
      </c>
      <c r="E44" s="58" t="n">
        <v>556.42</v>
      </c>
      <c r="F44" s="57" t="n">
        <v>11</v>
      </c>
      <c r="G44" s="59" t="n">
        <v>0.15</v>
      </c>
      <c r="H44" s="60" t="n">
        <v>45447</v>
      </c>
      <c r="I44" s="58" t="n">
        <v>212.83</v>
      </c>
      <c r="J44" s="61" t="n">
        <f aca="true">NOW()</f>
        <v>46139.417194872</v>
      </c>
    </row>
    <row r="45" customFormat="false" ht="15.75" hidden="false" customHeight="true" outlineLevel="0" collapsed="false">
      <c r="A45" s="25" t="s">
        <v>119</v>
      </c>
      <c r="B45" s="25" t="s">
        <v>89</v>
      </c>
      <c r="C45" s="25" t="s">
        <v>28</v>
      </c>
      <c r="D45" s="25" t="s">
        <v>15</v>
      </c>
      <c r="E45" s="62" t="n">
        <v>840.85</v>
      </c>
      <c r="F45" s="25" t="n">
        <v>19</v>
      </c>
      <c r="G45" s="63" t="n">
        <v>0.1</v>
      </c>
      <c r="H45" s="64" t="n">
        <v>45448</v>
      </c>
      <c r="I45" s="62" t="n">
        <v>302.71</v>
      </c>
      <c r="J45" s="61" t="n">
        <f aca="true">NOW()</f>
        <v>46139.41719487</v>
      </c>
    </row>
    <row r="46" customFormat="false" ht="15.75" hidden="false" customHeight="true" outlineLevel="0" collapsed="false">
      <c r="A46" s="57" t="s">
        <v>94</v>
      </c>
      <c r="B46" s="57" t="s">
        <v>123</v>
      </c>
      <c r="C46" s="57" t="s">
        <v>32</v>
      </c>
      <c r="D46" s="57" t="s">
        <v>33</v>
      </c>
      <c r="E46" s="58" t="n">
        <v>1227.25</v>
      </c>
      <c r="F46" s="57" t="n">
        <v>12</v>
      </c>
      <c r="G46" s="59" t="n">
        <v>0.15</v>
      </c>
      <c r="H46" s="60" t="n">
        <v>45448</v>
      </c>
      <c r="I46" s="58" t="n">
        <v>365.11</v>
      </c>
      <c r="J46" s="61" t="n">
        <f aca="true">NOW()</f>
        <v>46139.417194872</v>
      </c>
    </row>
    <row r="47" customFormat="false" ht="15.75" hidden="false" customHeight="true" outlineLevel="0" collapsed="false">
      <c r="A47" s="25" t="s">
        <v>85</v>
      </c>
      <c r="B47" s="25" t="s">
        <v>124</v>
      </c>
      <c r="C47" s="25" t="s">
        <v>28</v>
      </c>
      <c r="D47" s="25" t="s">
        <v>31</v>
      </c>
      <c r="E47" s="62" t="n">
        <v>856.7</v>
      </c>
      <c r="F47" s="25" t="n">
        <v>2</v>
      </c>
      <c r="G47" s="63" t="n">
        <v>0</v>
      </c>
      <c r="H47" s="64" t="n">
        <v>45449</v>
      </c>
      <c r="I47" s="62" t="n">
        <v>214.18</v>
      </c>
      <c r="J47" s="61" t="n">
        <f aca="true">NOW()</f>
        <v>46139.41719487</v>
      </c>
    </row>
    <row r="48" customFormat="false" ht="15.75" hidden="false" customHeight="true" outlineLevel="0" collapsed="false">
      <c r="A48" s="57" t="s">
        <v>116</v>
      </c>
      <c r="B48" s="57" t="s">
        <v>118</v>
      </c>
      <c r="C48" s="57" t="s">
        <v>28</v>
      </c>
      <c r="D48" s="57" t="s">
        <v>35</v>
      </c>
      <c r="E48" s="58" t="n">
        <v>1225.42</v>
      </c>
      <c r="F48" s="57" t="n">
        <v>8</v>
      </c>
      <c r="G48" s="59" t="n">
        <v>0.15</v>
      </c>
      <c r="H48" s="60" t="n">
        <v>45449</v>
      </c>
      <c r="I48" s="58" t="n">
        <v>468.72</v>
      </c>
      <c r="J48" s="61" t="n">
        <f aca="true">NOW()</f>
        <v>46139.4171948721</v>
      </c>
    </row>
    <row r="49" customFormat="false" ht="15.75" hidden="false" customHeight="true" outlineLevel="0" collapsed="false">
      <c r="A49" s="25" t="s">
        <v>125</v>
      </c>
      <c r="B49" s="25" t="s">
        <v>95</v>
      </c>
      <c r="C49" s="25" t="s">
        <v>32</v>
      </c>
      <c r="D49" s="25" t="s">
        <v>35</v>
      </c>
      <c r="E49" s="62" t="n">
        <v>1001.57</v>
      </c>
      <c r="F49" s="25" t="n">
        <v>12</v>
      </c>
      <c r="G49" s="63" t="n">
        <v>0</v>
      </c>
      <c r="H49" s="64" t="n">
        <v>45450</v>
      </c>
      <c r="I49" s="62" t="n">
        <v>450.71</v>
      </c>
      <c r="J49" s="61" t="n">
        <f aca="true">NOW()</f>
        <v>46139.41719487</v>
      </c>
    </row>
    <row r="50" customFormat="false" ht="15.75" hidden="false" customHeight="true" outlineLevel="0" collapsed="false">
      <c r="A50" s="57" t="s">
        <v>119</v>
      </c>
      <c r="B50" s="57" t="s">
        <v>91</v>
      </c>
      <c r="C50" s="57" t="s">
        <v>34</v>
      </c>
      <c r="D50" s="57" t="s">
        <v>33</v>
      </c>
      <c r="E50" s="58" t="n">
        <v>1186.85</v>
      </c>
      <c r="F50" s="57" t="n">
        <v>19</v>
      </c>
      <c r="G50" s="59" t="n">
        <v>0.2</v>
      </c>
      <c r="H50" s="60" t="n">
        <v>45451</v>
      </c>
      <c r="I50" s="58" t="n">
        <v>332.32</v>
      </c>
      <c r="J50" s="61" t="n">
        <f aca="true">NOW()</f>
        <v>46139.4171948721</v>
      </c>
    </row>
    <row r="51" customFormat="false" ht="15.75" hidden="false" customHeight="true" outlineLevel="0" collapsed="false">
      <c r="A51" s="25" t="s">
        <v>106</v>
      </c>
      <c r="B51" s="25" t="s">
        <v>113</v>
      </c>
      <c r="C51" s="25" t="s">
        <v>30</v>
      </c>
      <c r="D51" s="25" t="s">
        <v>31</v>
      </c>
      <c r="E51" s="62" t="n">
        <v>775.45</v>
      </c>
      <c r="F51" s="25" t="n">
        <v>6</v>
      </c>
      <c r="G51" s="63" t="n">
        <v>0.1</v>
      </c>
      <c r="H51" s="64" t="n">
        <v>45457</v>
      </c>
      <c r="I51" s="62" t="n">
        <v>174.48</v>
      </c>
      <c r="J51" s="61" t="n">
        <f aca="true">NOW()</f>
        <v>46139.41719487</v>
      </c>
    </row>
    <row r="52" customFormat="false" ht="15.75" hidden="false" customHeight="true" outlineLevel="0" collapsed="false">
      <c r="A52" s="57" t="s">
        <v>90</v>
      </c>
      <c r="B52" s="57" t="s">
        <v>97</v>
      </c>
      <c r="C52" s="57" t="s">
        <v>30</v>
      </c>
      <c r="D52" s="57" t="s">
        <v>31</v>
      </c>
      <c r="E52" s="58" t="n">
        <v>1021.47</v>
      </c>
      <c r="F52" s="57" t="n">
        <v>6</v>
      </c>
      <c r="G52" s="59" t="n">
        <v>0.05</v>
      </c>
      <c r="H52" s="60" t="n">
        <v>45461</v>
      </c>
      <c r="I52" s="58" t="n">
        <v>242.6</v>
      </c>
      <c r="J52" s="61" t="n">
        <f aca="true">NOW()</f>
        <v>46139.4171948721</v>
      </c>
    </row>
    <row r="53" customFormat="false" ht="15.75" hidden="false" customHeight="true" outlineLevel="0" collapsed="false">
      <c r="A53" s="25" t="s">
        <v>120</v>
      </c>
      <c r="B53" s="25" t="s">
        <v>89</v>
      </c>
      <c r="C53" s="25" t="s">
        <v>30</v>
      </c>
      <c r="D53" s="25" t="s">
        <v>29</v>
      </c>
      <c r="E53" s="62" t="n">
        <v>1226.62</v>
      </c>
      <c r="F53" s="25" t="n">
        <v>7</v>
      </c>
      <c r="G53" s="63" t="n">
        <v>0.1</v>
      </c>
      <c r="H53" s="64" t="n">
        <v>45463</v>
      </c>
      <c r="I53" s="62" t="n">
        <v>551.98</v>
      </c>
      <c r="J53" s="61" t="n">
        <f aca="true">NOW()</f>
        <v>46139.41719487</v>
      </c>
    </row>
    <row r="54" customFormat="false" ht="15.75" hidden="false" customHeight="true" outlineLevel="0" collapsed="false">
      <c r="A54" s="57" t="s">
        <v>88</v>
      </c>
      <c r="B54" s="57" t="s">
        <v>126</v>
      </c>
      <c r="C54" s="57" t="s">
        <v>30</v>
      </c>
      <c r="D54" s="57" t="s">
        <v>33</v>
      </c>
      <c r="E54" s="58" t="n">
        <v>1086.93</v>
      </c>
      <c r="F54" s="57" t="n">
        <v>2</v>
      </c>
      <c r="G54" s="59" t="n">
        <v>0</v>
      </c>
      <c r="H54" s="60" t="n">
        <v>45464</v>
      </c>
      <c r="I54" s="58" t="n">
        <v>380.43</v>
      </c>
      <c r="J54" s="61" t="n">
        <f aca="true">NOW()</f>
        <v>46139.4171948721</v>
      </c>
    </row>
    <row r="55" customFormat="false" ht="15.75" hidden="false" customHeight="true" outlineLevel="0" collapsed="false">
      <c r="A55" s="25" t="s">
        <v>127</v>
      </c>
      <c r="B55" s="25" t="s">
        <v>110</v>
      </c>
      <c r="C55" s="25" t="s">
        <v>14</v>
      </c>
      <c r="D55" s="25" t="s">
        <v>15</v>
      </c>
      <c r="E55" s="62" t="n">
        <v>942.9</v>
      </c>
      <c r="F55" s="25" t="n">
        <v>18</v>
      </c>
      <c r="G55" s="63" t="n">
        <v>0.1</v>
      </c>
      <c r="H55" s="64" t="n">
        <v>45466</v>
      </c>
      <c r="I55" s="62" t="n">
        <v>339.44</v>
      </c>
      <c r="J55" s="61" t="n">
        <f aca="true">NOW()</f>
        <v>46139.41719487</v>
      </c>
    </row>
    <row r="56" customFormat="false" ht="15.75" hidden="false" customHeight="true" outlineLevel="0" collapsed="false">
      <c r="A56" s="57" t="s">
        <v>96</v>
      </c>
      <c r="B56" s="57" t="s">
        <v>101</v>
      </c>
      <c r="C56" s="57" t="s">
        <v>32</v>
      </c>
      <c r="D56" s="57" t="s">
        <v>31</v>
      </c>
      <c r="E56" s="58" t="n">
        <v>818.8</v>
      </c>
      <c r="F56" s="57" t="n">
        <v>15</v>
      </c>
      <c r="G56" s="59" t="n">
        <v>0.15</v>
      </c>
      <c r="H56" s="60" t="n">
        <v>45468</v>
      </c>
      <c r="I56" s="58" t="n">
        <v>173.99</v>
      </c>
      <c r="J56" s="61" t="n">
        <f aca="true">NOW()</f>
        <v>46139.4171948721</v>
      </c>
    </row>
    <row r="57" customFormat="false" ht="15.75" hidden="false" customHeight="true" outlineLevel="0" collapsed="false">
      <c r="A57" s="25" t="s">
        <v>87</v>
      </c>
      <c r="B57" s="25" t="s">
        <v>84</v>
      </c>
      <c r="C57" s="25" t="s">
        <v>30</v>
      </c>
      <c r="D57" s="25" t="s">
        <v>33</v>
      </c>
      <c r="E57" s="62" t="n">
        <v>919.04</v>
      </c>
      <c r="F57" s="25" t="n">
        <v>10</v>
      </c>
      <c r="G57" s="63" t="n">
        <v>0.2</v>
      </c>
      <c r="H57" s="64" t="n">
        <v>45468</v>
      </c>
      <c r="I57" s="62" t="n">
        <v>257.33</v>
      </c>
      <c r="J57" s="61" t="n">
        <f aca="true">NOW()</f>
        <v>46139.41719487</v>
      </c>
    </row>
    <row r="58" customFormat="false" ht="15.75" hidden="false" customHeight="true" outlineLevel="0" collapsed="false">
      <c r="A58" s="57" t="s">
        <v>88</v>
      </c>
      <c r="B58" s="57" t="s">
        <v>128</v>
      </c>
      <c r="C58" s="57" t="s">
        <v>28</v>
      </c>
      <c r="D58" s="57" t="s">
        <v>15</v>
      </c>
      <c r="E58" s="58" t="n">
        <v>973.26</v>
      </c>
      <c r="F58" s="57" t="n">
        <v>11</v>
      </c>
      <c r="G58" s="59" t="n">
        <v>0</v>
      </c>
      <c r="H58" s="60" t="n">
        <v>45470</v>
      </c>
      <c r="I58" s="58" t="n">
        <v>389.3</v>
      </c>
      <c r="J58" s="61" t="n">
        <f aca="true">NOW()</f>
        <v>46139.4171948721</v>
      </c>
    </row>
    <row r="59" customFormat="false" ht="15.75" hidden="false" customHeight="true" outlineLevel="0" collapsed="false">
      <c r="A59" s="25" t="s">
        <v>103</v>
      </c>
      <c r="B59" s="25" t="s">
        <v>126</v>
      </c>
      <c r="C59" s="25" t="s">
        <v>32</v>
      </c>
      <c r="D59" s="25" t="s">
        <v>31</v>
      </c>
      <c r="E59" s="62" t="n">
        <v>741.61</v>
      </c>
      <c r="F59" s="25" t="n">
        <v>1</v>
      </c>
      <c r="G59" s="63" t="n">
        <v>0.2</v>
      </c>
      <c r="H59" s="64" t="n">
        <v>45471</v>
      </c>
      <c r="I59" s="62" t="n">
        <v>148.32</v>
      </c>
      <c r="J59" s="61" t="n">
        <f aca="true">NOW()</f>
        <v>46139.41719487</v>
      </c>
    </row>
    <row r="60" customFormat="false" ht="15.75" hidden="false" customHeight="true" outlineLevel="0" collapsed="false">
      <c r="A60" s="57" t="s">
        <v>129</v>
      </c>
      <c r="B60" s="57" t="s">
        <v>101</v>
      </c>
      <c r="C60" s="57" t="s">
        <v>32</v>
      </c>
      <c r="D60" s="57" t="s">
        <v>15</v>
      </c>
      <c r="E60" s="58" t="n">
        <v>1248.82</v>
      </c>
      <c r="F60" s="57" t="n">
        <v>2</v>
      </c>
      <c r="G60" s="59" t="n">
        <v>0.1</v>
      </c>
      <c r="H60" s="60" t="n">
        <v>45473</v>
      </c>
      <c r="I60" s="58" t="n">
        <v>449.58</v>
      </c>
      <c r="J60" s="61" t="n">
        <f aca="true">NOW()</f>
        <v>46139.4171948721</v>
      </c>
    </row>
    <row r="61" customFormat="false" ht="15.75" hidden="false" customHeight="true" outlineLevel="0" collapsed="false">
      <c r="A61" s="25" t="s">
        <v>83</v>
      </c>
      <c r="B61" s="25" t="s">
        <v>121</v>
      </c>
      <c r="C61" s="25" t="s">
        <v>14</v>
      </c>
      <c r="D61" s="25" t="s">
        <v>29</v>
      </c>
      <c r="E61" s="62" t="n">
        <v>1360.36</v>
      </c>
      <c r="F61" s="25" t="n">
        <v>17</v>
      </c>
      <c r="G61" s="63" t="n">
        <v>0</v>
      </c>
      <c r="H61" s="64" t="n">
        <v>45473</v>
      </c>
      <c r="I61" s="62" t="n">
        <v>680.18</v>
      </c>
      <c r="J61" s="61" t="n">
        <f aca="true">NOW()</f>
        <v>46139.41719487</v>
      </c>
    </row>
    <row r="62" customFormat="false" ht="15.75" hidden="false" customHeight="true" outlineLevel="0" collapsed="false">
      <c r="A62" s="57" t="s">
        <v>119</v>
      </c>
      <c r="B62" s="57" t="s">
        <v>95</v>
      </c>
      <c r="C62" s="57" t="s">
        <v>34</v>
      </c>
      <c r="D62" s="57" t="s">
        <v>15</v>
      </c>
      <c r="E62" s="58" t="n">
        <v>1383.3</v>
      </c>
      <c r="F62" s="57" t="n">
        <v>8</v>
      </c>
      <c r="G62" s="59" t="n">
        <v>0.1</v>
      </c>
      <c r="H62" s="60" t="n">
        <v>45478</v>
      </c>
      <c r="I62" s="58" t="n">
        <v>497.99</v>
      </c>
      <c r="J62" s="61" t="n">
        <f aca="true">NOW()</f>
        <v>46139.4171948721</v>
      </c>
    </row>
    <row r="63" customFormat="false" ht="15.75" hidden="false" customHeight="true" outlineLevel="0" collapsed="false">
      <c r="A63" s="25" t="s">
        <v>98</v>
      </c>
      <c r="B63" s="25" t="s">
        <v>117</v>
      </c>
      <c r="C63" s="25" t="s">
        <v>28</v>
      </c>
      <c r="D63" s="25" t="s">
        <v>35</v>
      </c>
      <c r="E63" s="62" t="n">
        <v>488.99</v>
      </c>
      <c r="F63" s="25" t="n">
        <v>9</v>
      </c>
      <c r="G63" s="63" t="n">
        <v>0</v>
      </c>
      <c r="H63" s="64" t="n">
        <v>45479</v>
      </c>
      <c r="I63" s="62" t="n">
        <v>220.05</v>
      </c>
      <c r="J63" s="61" t="n">
        <f aca="true">NOW()</f>
        <v>46139.41719487</v>
      </c>
    </row>
    <row r="64" customFormat="false" ht="15.75" hidden="false" customHeight="true" outlineLevel="0" collapsed="false">
      <c r="A64" s="57" t="s">
        <v>94</v>
      </c>
      <c r="B64" s="57" t="s">
        <v>95</v>
      </c>
      <c r="C64" s="57" t="s">
        <v>34</v>
      </c>
      <c r="D64" s="57" t="s">
        <v>33</v>
      </c>
      <c r="E64" s="58" t="n">
        <v>933.71</v>
      </c>
      <c r="F64" s="57" t="n">
        <v>17</v>
      </c>
      <c r="G64" s="59" t="n">
        <v>0.1</v>
      </c>
      <c r="H64" s="60" t="n">
        <v>45481</v>
      </c>
      <c r="I64" s="58" t="n">
        <v>294.12</v>
      </c>
      <c r="J64" s="61" t="n">
        <f aca="true">NOW()</f>
        <v>46139.4171948721</v>
      </c>
    </row>
    <row r="65" customFormat="false" ht="15.75" hidden="false" customHeight="true" outlineLevel="0" collapsed="false">
      <c r="A65" s="25" t="s">
        <v>129</v>
      </c>
      <c r="B65" s="25" t="s">
        <v>82</v>
      </c>
      <c r="C65" s="25" t="s">
        <v>14</v>
      </c>
      <c r="D65" s="25" t="s">
        <v>31</v>
      </c>
      <c r="E65" s="62" t="n">
        <v>1005.53</v>
      </c>
      <c r="F65" s="25" t="n">
        <v>17</v>
      </c>
      <c r="G65" s="63" t="n">
        <v>0.2</v>
      </c>
      <c r="H65" s="64" t="n">
        <v>45481</v>
      </c>
      <c r="I65" s="62" t="n">
        <v>201.11</v>
      </c>
      <c r="J65" s="61" t="n">
        <f aca="true">NOW()</f>
        <v>46139.41719487</v>
      </c>
    </row>
    <row r="66" customFormat="false" ht="15.75" hidden="false" customHeight="true" outlineLevel="0" collapsed="false">
      <c r="A66" s="57" t="s">
        <v>103</v>
      </c>
      <c r="B66" s="57" t="s">
        <v>123</v>
      </c>
      <c r="C66" s="57" t="s">
        <v>30</v>
      </c>
      <c r="D66" s="57" t="s">
        <v>31</v>
      </c>
      <c r="E66" s="58" t="n">
        <v>1100.1</v>
      </c>
      <c r="F66" s="57" t="n">
        <v>5</v>
      </c>
      <c r="G66" s="59" t="n">
        <v>0.05</v>
      </c>
      <c r="H66" s="60" t="n">
        <v>45482</v>
      </c>
      <c r="I66" s="58" t="n">
        <v>261.27</v>
      </c>
      <c r="J66" s="61" t="n">
        <f aca="true">NOW()</f>
        <v>46139.4171948721</v>
      </c>
    </row>
    <row r="67" customFormat="false" ht="15.75" hidden="false" customHeight="true" outlineLevel="0" collapsed="false">
      <c r="A67" s="25" t="s">
        <v>129</v>
      </c>
      <c r="B67" s="25" t="s">
        <v>89</v>
      </c>
      <c r="C67" s="25" t="s">
        <v>32</v>
      </c>
      <c r="D67" s="25" t="s">
        <v>33</v>
      </c>
      <c r="E67" s="62" t="n">
        <v>1034.7</v>
      </c>
      <c r="F67" s="25" t="n">
        <v>15</v>
      </c>
      <c r="G67" s="63" t="n">
        <v>0.15</v>
      </c>
      <c r="H67" s="64" t="n">
        <v>45487</v>
      </c>
      <c r="I67" s="62" t="n">
        <v>307.82</v>
      </c>
      <c r="J67" s="61" t="n">
        <f aca="true">NOW()</f>
        <v>46139.41719487</v>
      </c>
    </row>
    <row r="68" customFormat="false" ht="15.75" hidden="false" customHeight="true" outlineLevel="0" collapsed="false">
      <c r="A68" s="57" t="s">
        <v>127</v>
      </c>
      <c r="B68" s="57" t="s">
        <v>95</v>
      </c>
      <c r="C68" s="57" t="s">
        <v>30</v>
      </c>
      <c r="D68" s="57" t="s">
        <v>15</v>
      </c>
      <c r="E68" s="58" t="n">
        <v>876.44</v>
      </c>
      <c r="F68" s="57" t="n">
        <v>12</v>
      </c>
      <c r="G68" s="59" t="n">
        <v>0.05</v>
      </c>
      <c r="H68" s="60" t="n">
        <v>45488</v>
      </c>
      <c r="I68" s="58" t="n">
        <v>333.05</v>
      </c>
      <c r="J68" s="61" t="n">
        <f aca="true">NOW()</f>
        <v>46139.4171948721</v>
      </c>
    </row>
    <row r="69" customFormat="false" ht="15.75" hidden="false" customHeight="true" outlineLevel="0" collapsed="false">
      <c r="A69" s="25" t="s">
        <v>130</v>
      </c>
      <c r="B69" s="25" t="s">
        <v>117</v>
      </c>
      <c r="C69" s="25" t="s">
        <v>14</v>
      </c>
      <c r="D69" s="25" t="s">
        <v>33</v>
      </c>
      <c r="E69" s="62" t="n">
        <v>1371.34</v>
      </c>
      <c r="F69" s="25" t="n">
        <v>5</v>
      </c>
      <c r="G69" s="63" t="n">
        <v>0.05</v>
      </c>
      <c r="H69" s="64" t="n">
        <v>45488</v>
      </c>
      <c r="I69" s="62" t="n">
        <v>455.97</v>
      </c>
      <c r="J69" s="61" t="n">
        <f aca="true">NOW()</f>
        <v>46139.41719487</v>
      </c>
    </row>
    <row r="70" customFormat="false" ht="15.75" hidden="false" customHeight="true" outlineLevel="0" collapsed="false">
      <c r="A70" s="57" t="s">
        <v>119</v>
      </c>
      <c r="B70" s="57" t="s">
        <v>109</v>
      </c>
      <c r="C70" s="57" t="s">
        <v>32</v>
      </c>
      <c r="D70" s="57" t="s">
        <v>31</v>
      </c>
      <c r="E70" s="58" t="n">
        <v>1020.26</v>
      </c>
      <c r="F70" s="57" t="n">
        <v>11</v>
      </c>
      <c r="G70" s="59" t="n">
        <v>0.05</v>
      </c>
      <c r="H70" s="60" t="n">
        <v>45494</v>
      </c>
      <c r="I70" s="58" t="n">
        <v>242.31</v>
      </c>
      <c r="J70" s="61" t="n">
        <f aca="true">NOW()</f>
        <v>46139.4171948721</v>
      </c>
    </row>
    <row r="71" customFormat="false" ht="15.75" hidden="false" customHeight="true" outlineLevel="0" collapsed="false">
      <c r="A71" s="25" t="s">
        <v>106</v>
      </c>
      <c r="B71" s="25" t="s">
        <v>82</v>
      </c>
      <c r="C71" s="25" t="s">
        <v>28</v>
      </c>
      <c r="D71" s="25" t="s">
        <v>35</v>
      </c>
      <c r="E71" s="62" t="n">
        <v>804.81</v>
      </c>
      <c r="F71" s="25" t="n">
        <v>1</v>
      </c>
      <c r="G71" s="63" t="n">
        <v>0.05</v>
      </c>
      <c r="H71" s="64" t="n">
        <v>45502</v>
      </c>
      <c r="I71" s="62" t="n">
        <v>344.06</v>
      </c>
      <c r="J71" s="61" t="n">
        <f aca="true">NOW()</f>
        <v>46139.41719487</v>
      </c>
    </row>
    <row r="72" customFormat="false" ht="15.75" hidden="false" customHeight="true" outlineLevel="0" collapsed="false">
      <c r="A72" s="57" t="s">
        <v>88</v>
      </c>
      <c r="B72" s="57" t="s">
        <v>117</v>
      </c>
      <c r="C72" s="57" t="s">
        <v>28</v>
      </c>
      <c r="D72" s="57" t="s">
        <v>31</v>
      </c>
      <c r="E72" s="58" t="n">
        <v>608.66</v>
      </c>
      <c r="F72" s="57" t="n">
        <v>1</v>
      </c>
      <c r="G72" s="59" t="n">
        <v>0.05</v>
      </c>
      <c r="H72" s="60" t="n">
        <v>45503</v>
      </c>
      <c r="I72" s="58" t="n">
        <v>144.56</v>
      </c>
      <c r="J72" s="61" t="n">
        <f aca="true">NOW()</f>
        <v>46139.4171948721</v>
      </c>
    </row>
    <row r="73" customFormat="false" ht="15.75" hidden="false" customHeight="true" outlineLevel="0" collapsed="false">
      <c r="A73" s="25" t="s">
        <v>130</v>
      </c>
      <c r="B73" s="25" t="s">
        <v>131</v>
      </c>
      <c r="C73" s="25" t="s">
        <v>30</v>
      </c>
      <c r="D73" s="25" t="s">
        <v>35</v>
      </c>
      <c r="E73" s="62" t="n">
        <v>981.2</v>
      </c>
      <c r="F73" s="25" t="n">
        <v>19</v>
      </c>
      <c r="G73" s="63" t="n">
        <v>0</v>
      </c>
      <c r="H73" s="64" t="n">
        <v>45504</v>
      </c>
      <c r="I73" s="62" t="n">
        <v>441.54</v>
      </c>
      <c r="J73" s="61" t="n">
        <f aca="true">NOW()</f>
        <v>46139.41719487</v>
      </c>
    </row>
    <row r="74" customFormat="false" ht="15.75" hidden="false" customHeight="true" outlineLevel="0" collapsed="false">
      <c r="A74" s="57" t="s">
        <v>132</v>
      </c>
      <c r="B74" s="57" t="s">
        <v>117</v>
      </c>
      <c r="C74" s="57" t="s">
        <v>34</v>
      </c>
      <c r="D74" s="57" t="s">
        <v>31</v>
      </c>
      <c r="E74" s="58" t="n">
        <v>539.77</v>
      </c>
      <c r="F74" s="57" t="n">
        <v>10</v>
      </c>
      <c r="G74" s="59" t="n">
        <v>0.15</v>
      </c>
      <c r="H74" s="60" t="n">
        <v>45509</v>
      </c>
      <c r="I74" s="58" t="n">
        <v>114.7</v>
      </c>
      <c r="J74" s="61" t="n">
        <f aca="true">NOW()</f>
        <v>46139.4171948721</v>
      </c>
    </row>
    <row r="75" customFormat="false" ht="15.75" hidden="false" customHeight="true" outlineLevel="0" collapsed="false">
      <c r="A75" s="25" t="s">
        <v>83</v>
      </c>
      <c r="B75" s="25" t="s">
        <v>133</v>
      </c>
      <c r="C75" s="25" t="s">
        <v>30</v>
      </c>
      <c r="D75" s="25" t="s">
        <v>15</v>
      </c>
      <c r="E75" s="62" t="n">
        <v>804.45</v>
      </c>
      <c r="F75" s="25" t="n">
        <v>5</v>
      </c>
      <c r="G75" s="63" t="n">
        <v>0.2</v>
      </c>
      <c r="H75" s="64" t="n">
        <v>45509</v>
      </c>
      <c r="I75" s="62" t="n">
        <v>257.42</v>
      </c>
      <c r="J75" s="61" t="n">
        <f aca="true">NOW()</f>
        <v>46139.41719487</v>
      </c>
    </row>
    <row r="76" customFormat="false" ht="15.75" hidden="false" customHeight="true" outlineLevel="0" collapsed="false">
      <c r="A76" s="57" t="s">
        <v>132</v>
      </c>
      <c r="B76" s="57" t="s">
        <v>101</v>
      </c>
      <c r="C76" s="57" t="s">
        <v>14</v>
      </c>
      <c r="D76" s="57" t="s">
        <v>31</v>
      </c>
      <c r="E76" s="58" t="n">
        <v>1526.6</v>
      </c>
      <c r="F76" s="57" t="n">
        <v>13</v>
      </c>
      <c r="G76" s="59" t="n">
        <v>0.2</v>
      </c>
      <c r="H76" s="60" t="n">
        <v>45512</v>
      </c>
      <c r="I76" s="58" t="n">
        <v>305.32</v>
      </c>
      <c r="J76" s="61" t="n">
        <f aca="true">NOW()</f>
        <v>46139.4171948722</v>
      </c>
    </row>
    <row r="77" customFormat="false" ht="15.75" hidden="false" customHeight="true" outlineLevel="0" collapsed="false">
      <c r="A77" s="25" t="s">
        <v>83</v>
      </c>
      <c r="B77" s="25" t="s">
        <v>93</v>
      </c>
      <c r="C77" s="25" t="s">
        <v>14</v>
      </c>
      <c r="D77" s="25" t="s">
        <v>31</v>
      </c>
      <c r="E77" s="62" t="n">
        <v>1215.26</v>
      </c>
      <c r="F77" s="25" t="n">
        <v>5</v>
      </c>
      <c r="G77" s="63" t="n">
        <v>0.15</v>
      </c>
      <c r="H77" s="64" t="n">
        <v>45513</v>
      </c>
      <c r="I77" s="62" t="n">
        <v>258.24</v>
      </c>
      <c r="J77" s="61" t="n">
        <f aca="true">NOW()</f>
        <v>46139.41719487</v>
      </c>
    </row>
    <row r="78" customFormat="false" ht="15.75" hidden="false" customHeight="true" outlineLevel="0" collapsed="false">
      <c r="A78" s="57" t="s">
        <v>87</v>
      </c>
      <c r="B78" s="57" t="s">
        <v>115</v>
      </c>
      <c r="C78" s="57" t="s">
        <v>28</v>
      </c>
      <c r="D78" s="57" t="s">
        <v>33</v>
      </c>
      <c r="E78" s="58" t="n">
        <v>1261.34</v>
      </c>
      <c r="F78" s="57" t="n">
        <v>3</v>
      </c>
      <c r="G78" s="59" t="n">
        <v>0</v>
      </c>
      <c r="H78" s="60" t="n">
        <v>45519</v>
      </c>
      <c r="I78" s="58" t="n">
        <v>441.47</v>
      </c>
      <c r="J78" s="61" t="n">
        <f aca="true">NOW()</f>
        <v>46139.4171948722</v>
      </c>
    </row>
    <row r="79" customFormat="false" ht="15.75" hidden="false" customHeight="true" outlineLevel="0" collapsed="false">
      <c r="A79" s="25" t="s">
        <v>134</v>
      </c>
      <c r="B79" s="25" t="s">
        <v>107</v>
      </c>
      <c r="C79" s="25" t="s">
        <v>32</v>
      </c>
      <c r="D79" s="25" t="s">
        <v>33</v>
      </c>
      <c r="E79" s="62" t="n">
        <v>518.07</v>
      </c>
      <c r="F79" s="25" t="n">
        <v>7</v>
      </c>
      <c r="G79" s="63" t="n">
        <v>0.05</v>
      </c>
      <c r="H79" s="64" t="n">
        <v>45522</v>
      </c>
      <c r="I79" s="62" t="n">
        <v>172.26</v>
      </c>
      <c r="J79" s="61" t="n">
        <f aca="true">NOW()</f>
        <v>46139.41719487</v>
      </c>
    </row>
    <row r="80" customFormat="false" ht="15.75" hidden="false" customHeight="true" outlineLevel="0" collapsed="false">
      <c r="A80" s="57" t="s">
        <v>94</v>
      </c>
      <c r="B80" s="57" t="s">
        <v>93</v>
      </c>
      <c r="C80" s="57" t="s">
        <v>14</v>
      </c>
      <c r="D80" s="57" t="s">
        <v>35</v>
      </c>
      <c r="E80" s="58" t="n">
        <v>1111.34</v>
      </c>
      <c r="F80" s="57" t="n">
        <v>1</v>
      </c>
      <c r="G80" s="59" t="n">
        <v>0</v>
      </c>
      <c r="H80" s="60" t="n">
        <v>45523</v>
      </c>
      <c r="I80" s="58" t="n">
        <v>500.1</v>
      </c>
      <c r="J80" s="61" t="n">
        <f aca="true">NOW()</f>
        <v>46139.4171948722</v>
      </c>
    </row>
    <row r="81" customFormat="false" ht="15.75" hidden="false" customHeight="true" outlineLevel="0" collapsed="false">
      <c r="A81" s="25" t="s">
        <v>88</v>
      </c>
      <c r="B81" s="25" t="s">
        <v>95</v>
      </c>
      <c r="C81" s="25" t="s">
        <v>34</v>
      </c>
      <c r="D81" s="25" t="s">
        <v>29</v>
      </c>
      <c r="E81" s="62" t="n">
        <v>1291.47</v>
      </c>
      <c r="F81" s="25" t="n">
        <v>18</v>
      </c>
      <c r="G81" s="63" t="n">
        <v>0.1</v>
      </c>
      <c r="H81" s="64" t="n">
        <v>45526</v>
      </c>
      <c r="I81" s="62" t="n">
        <v>581.16</v>
      </c>
      <c r="J81" s="61" t="n">
        <f aca="true">NOW()</f>
        <v>46139.41719487</v>
      </c>
    </row>
    <row r="82" customFormat="false" ht="15.75" hidden="false" customHeight="true" outlineLevel="0" collapsed="false">
      <c r="A82" s="57" t="s">
        <v>90</v>
      </c>
      <c r="B82" s="57" t="s">
        <v>117</v>
      </c>
      <c r="C82" s="57" t="s">
        <v>32</v>
      </c>
      <c r="D82" s="57" t="s">
        <v>15</v>
      </c>
      <c r="E82" s="58" t="n">
        <v>679.71</v>
      </c>
      <c r="F82" s="57" t="n">
        <v>19</v>
      </c>
      <c r="G82" s="59" t="n">
        <v>0</v>
      </c>
      <c r="H82" s="60" t="n">
        <v>45534</v>
      </c>
      <c r="I82" s="58" t="n">
        <v>271.88</v>
      </c>
      <c r="J82" s="61" t="n">
        <f aca="true">NOW()</f>
        <v>46139.4171948722</v>
      </c>
    </row>
    <row r="83" customFormat="false" ht="15.75" hidden="false" customHeight="true" outlineLevel="0" collapsed="false">
      <c r="A83" s="25" t="s">
        <v>130</v>
      </c>
      <c r="B83" s="25" t="s">
        <v>97</v>
      </c>
      <c r="C83" s="25" t="s">
        <v>34</v>
      </c>
      <c r="D83" s="25" t="s">
        <v>33</v>
      </c>
      <c r="E83" s="62" t="n">
        <v>1143.69</v>
      </c>
      <c r="F83" s="25" t="n">
        <v>17</v>
      </c>
      <c r="G83" s="63" t="n">
        <v>0</v>
      </c>
      <c r="H83" s="64" t="n">
        <v>45534</v>
      </c>
      <c r="I83" s="62" t="n">
        <v>400.29</v>
      </c>
      <c r="J83" s="61" t="n">
        <f aca="true">NOW()</f>
        <v>46139.41719487</v>
      </c>
    </row>
    <row r="84" customFormat="false" ht="15.75" hidden="false" customHeight="true" outlineLevel="0" collapsed="false">
      <c r="A84" s="57" t="s">
        <v>114</v>
      </c>
      <c r="B84" s="57" t="s">
        <v>112</v>
      </c>
      <c r="C84" s="57" t="s">
        <v>28</v>
      </c>
      <c r="D84" s="57" t="s">
        <v>31</v>
      </c>
      <c r="E84" s="58" t="n">
        <v>790.08</v>
      </c>
      <c r="F84" s="57" t="n">
        <v>7</v>
      </c>
      <c r="G84" s="59" t="n">
        <v>0.1</v>
      </c>
      <c r="H84" s="60" t="n">
        <v>45536</v>
      </c>
      <c r="I84" s="58" t="n">
        <v>177.77</v>
      </c>
      <c r="J84" s="61" t="n">
        <f aca="true">NOW()</f>
        <v>46139.4171948722</v>
      </c>
    </row>
    <row r="85" customFormat="false" ht="15.75" hidden="false" customHeight="true" outlineLevel="0" collapsed="false">
      <c r="A85" s="25" t="s">
        <v>87</v>
      </c>
      <c r="B85" s="25" t="s">
        <v>110</v>
      </c>
      <c r="C85" s="25" t="s">
        <v>28</v>
      </c>
      <c r="D85" s="25" t="s">
        <v>15</v>
      </c>
      <c r="E85" s="62" t="n">
        <v>1070.68</v>
      </c>
      <c r="F85" s="25" t="n">
        <v>7</v>
      </c>
      <c r="G85" s="63" t="n">
        <v>0.05</v>
      </c>
      <c r="H85" s="64" t="n">
        <v>45536</v>
      </c>
      <c r="I85" s="62" t="n">
        <v>406.86</v>
      </c>
      <c r="J85" s="61" t="n">
        <f aca="true">NOW()</f>
        <v>46139.41719487</v>
      </c>
    </row>
    <row r="86" customFormat="false" ht="15.75" hidden="false" customHeight="true" outlineLevel="0" collapsed="false">
      <c r="A86" s="57" t="s">
        <v>120</v>
      </c>
      <c r="B86" s="57" t="s">
        <v>99</v>
      </c>
      <c r="C86" s="57" t="s">
        <v>14</v>
      </c>
      <c r="D86" s="57" t="s">
        <v>29</v>
      </c>
      <c r="E86" s="58" t="n">
        <v>1168.89</v>
      </c>
      <c r="F86" s="57" t="n">
        <v>4</v>
      </c>
      <c r="G86" s="59" t="n">
        <v>0.1</v>
      </c>
      <c r="H86" s="60" t="n">
        <v>45544</v>
      </c>
      <c r="I86" s="58" t="n">
        <v>526</v>
      </c>
      <c r="J86" s="61" t="n">
        <f aca="true">NOW()</f>
        <v>46139.4171948722</v>
      </c>
    </row>
    <row r="87" customFormat="false" ht="15.75" hidden="false" customHeight="true" outlineLevel="0" collapsed="false">
      <c r="A87" s="25" t="s">
        <v>129</v>
      </c>
      <c r="B87" s="25" t="s">
        <v>82</v>
      </c>
      <c r="C87" s="25" t="s">
        <v>30</v>
      </c>
      <c r="D87" s="25" t="s">
        <v>31</v>
      </c>
      <c r="E87" s="62" t="n">
        <v>1335.87</v>
      </c>
      <c r="F87" s="25" t="n">
        <v>17</v>
      </c>
      <c r="G87" s="63" t="n">
        <v>0</v>
      </c>
      <c r="H87" s="64" t="n">
        <v>45544</v>
      </c>
      <c r="I87" s="62" t="n">
        <v>333.97</v>
      </c>
      <c r="J87" s="61" t="n">
        <f aca="true">NOW()</f>
        <v>46139.4171948701</v>
      </c>
    </row>
    <row r="88" customFormat="false" ht="15.75" hidden="false" customHeight="true" outlineLevel="0" collapsed="false">
      <c r="A88" s="57" t="s">
        <v>102</v>
      </c>
      <c r="B88" s="57" t="s">
        <v>117</v>
      </c>
      <c r="C88" s="57" t="s">
        <v>34</v>
      </c>
      <c r="D88" s="57" t="s">
        <v>33</v>
      </c>
      <c r="E88" s="58" t="n">
        <v>873.7</v>
      </c>
      <c r="F88" s="57" t="n">
        <v>9</v>
      </c>
      <c r="G88" s="59" t="n">
        <v>0</v>
      </c>
      <c r="H88" s="60" t="n">
        <v>45546</v>
      </c>
      <c r="I88" s="58" t="n">
        <v>305.8</v>
      </c>
      <c r="J88" s="61" t="n">
        <f aca="true">NOW()</f>
        <v>46139.4171948722</v>
      </c>
    </row>
    <row r="89" customFormat="false" ht="15.75" hidden="false" customHeight="true" outlineLevel="0" collapsed="false">
      <c r="A89" s="25" t="s">
        <v>134</v>
      </c>
      <c r="B89" s="25" t="s">
        <v>126</v>
      </c>
      <c r="C89" s="25" t="s">
        <v>14</v>
      </c>
      <c r="D89" s="25" t="s">
        <v>35</v>
      </c>
      <c r="E89" s="62" t="n">
        <v>1443.98</v>
      </c>
      <c r="F89" s="25" t="n">
        <v>19</v>
      </c>
      <c r="G89" s="63" t="n">
        <v>0</v>
      </c>
      <c r="H89" s="64" t="n">
        <v>45547</v>
      </c>
      <c r="I89" s="62" t="n">
        <v>649.79</v>
      </c>
      <c r="J89" s="61" t="n">
        <f aca="true">NOW()</f>
        <v>46139.4171948701</v>
      </c>
    </row>
    <row r="90" customFormat="false" ht="15.75" hidden="false" customHeight="true" outlineLevel="0" collapsed="false">
      <c r="A90" s="57" t="s">
        <v>102</v>
      </c>
      <c r="B90" s="57" t="s">
        <v>89</v>
      </c>
      <c r="C90" s="57" t="s">
        <v>34</v>
      </c>
      <c r="D90" s="57" t="s">
        <v>35</v>
      </c>
      <c r="E90" s="58" t="n">
        <v>1154.33</v>
      </c>
      <c r="F90" s="57" t="n">
        <v>11</v>
      </c>
      <c r="G90" s="59" t="n">
        <v>0.15</v>
      </c>
      <c r="H90" s="60" t="n">
        <v>45549</v>
      </c>
      <c r="I90" s="58" t="n">
        <v>441.53</v>
      </c>
      <c r="J90" s="61" t="n">
        <f aca="true">NOW()</f>
        <v>46139.4171948722</v>
      </c>
    </row>
    <row r="91" customFormat="false" ht="15.75" hidden="false" customHeight="true" outlineLevel="0" collapsed="false">
      <c r="A91" s="25" t="s">
        <v>111</v>
      </c>
      <c r="B91" s="25" t="s">
        <v>112</v>
      </c>
      <c r="C91" s="25" t="s">
        <v>30</v>
      </c>
      <c r="D91" s="25" t="s">
        <v>15</v>
      </c>
      <c r="E91" s="62" t="n">
        <v>1264.49</v>
      </c>
      <c r="F91" s="25" t="n">
        <v>16</v>
      </c>
      <c r="G91" s="63" t="n">
        <v>0.05</v>
      </c>
      <c r="H91" s="64" t="n">
        <v>45549</v>
      </c>
      <c r="I91" s="62" t="n">
        <v>480.51</v>
      </c>
      <c r="J91" s="61" t="n">
        <f aca="true">NOW()</f>
        <v>46139.4171948701</v>
      </c>
    </row>
    <row r="92" customFormat="false" ht="15.75" hidden="false" customHeight="true" outlineLevel="0" collapsed="false">
      <c r="A92" s="57" t="s">
        <v>90</v>
      </c>
      <c r="B92" s="57" t="s">
        <v>128</v>
      </c>
      <c r="C92" s="57" t="s">
        <v>14</v>
      </c>
      <c r="D92" s="57" t="s">
        <v>33</v>
      </c>
      <c r="E92" s="58" t="n">
        <v>1101.55</v>
      </c>
      <c r="F92" s="57" t="n">
        <v>4</v>
      </c>
      <c r="G92" s="59" t="n">
        <v>0.1</v>
      </c>
      <c r="H92" s="60" t="n">
        <v>45551</v>
      </c>
      <c r="I92" s="58" t="n">
        <v>346.99</v>
      </c>
      <c r="J92" s="61" t="n">
        <f aca="true">NOW()</f>
        <v>46139.4171948722</v>
      </c>
    </row>
    <row r="93" customFormat="false" ht="15.75" hidden="false" customHeight="true" outlineLevel="0" collapsed="false">
      <c r="A93" s="25" t="s">
        <v>135</v>
      </c>
      <c r="B93" s="25" t="s">
        <v>84</v>
      </c>
      <c r="C93" s="25" t="s">
        <v>30</v>
      </c>
      <c r="D93" s="25" t="s">
        <v>33</v>
      </c>
      <c r="E93" s="62" t="n">
        <v>727.73</v>
      </c>
      <c r="F93" s="25" t="n">
        <v>1</v>
      </c>
      <c r="G93" s="63" t="n">
        <v>0.1</v>
      </c>
      <c r="H93" s="64" t="n">
        <v>45552</v>
      </c>
      <c r="I93" s="62" t="n">
        <v>229.23</v>
      </c>
      <c r="J93" s="61" t="n">
        <f aca="true">NOW()</f>
        <v>46139.4171948701</v>
      </c>
    </row>
    <row r="94" customFormat="false" ht="15.75" hidden="false" customHeight="true" outlineLevel="0" collapsed="false">
      <c r="A94" s="57" t="s">
        <v>136</v>
      </c>
      <c r="B94" s="57" t="s">
        <v>101</v>
      </c>
      <c r="C94" s="57" t="s">
        <v>34</v>
      </c>
      <c r="D94" s="57" t="s">
        <v>35</v>
      </c>
      <c r="E94" s="58" t="n">
        <v>875.41</v>
      </c>
      <c r="F94" s="57" t="n">
        <v>13</v>
      </c>
      <c r="G94" s="59" t="n">
        <v>0.15</v>
      </c>
      <c r="H94" s="60" t="n">
        <v>45552</v>
      </c>
      <c r="I94" s="58" t="n">
        <v>334.84</v>
      </c>
      <c r="J94" s="61" t="n">
        <f aca="true">NOW()</f>
        <v>46139.4171948722</v>
      </c>
    </row>
    <row r="95" customFormat="false" ht="15.75" hidden="false" customHeight="true" outlineLevel="0" collapsed="false">
      <c r="A95" s="25" t="s">
        <v>129</v>
      </c>
      <c r="B95" s="25" t="s">
        <v>89</v>
      </c>
      <c r="C95" s="25" t="s">
        <v>14</v>
      </c>
      <c r="D95" s="25" t="s">
        <v>31</v>
      </c>
      <c r="E95" s="62" t="n">
        <v>1158.94</v>
      </c>
      <c r="F95" s="25" t="n">
        <v>19</v>
      </c>
      <c r="G95" s="63" t="n">
        <v>0.2</v>
      </c>
      <c r="H95" s="64" t="n">
        <v>45553</v>
      </c>
      <c r="I95" s="62" t="n">
        <v>231.79</v>
      </c>
      <c r="J95" s="61" t="n">
        <f aca="true">NOW()</f>
        <v>46139.4171948701</v>
      </c>
    </row>
    <row r="96" customFormat="false" ht="15.75" hidden="false" customHeight="true" outlineLevel="0" collapsed="false">
      <c r="A96" s="57" t="s">
        <v>137</v>
      </c>
      <c r="B96" s="57" t="s">
        <v>109</v>
      </c>
      <c r="C96" s="57" t="s">
        <v>30</v>
      </c>
      <c r="D96" s="57" t="s">
        <v>15</v>
      </c>
      <c r="E96" s="58" t="n">
        <v>966.3</v>
      </c>
      <c r="F96" s="57" t="n">
        <v>2</v>
      </c>
      <c r="G96" s="59" t="n">
        <v>0.15</v>
      </c>
      <c r="H96" s="60" t="n">
        <v>45557</v>
      </c>
      <c r="I96" s="58" t="n">
        <v>328.54</v>
      </c>
      <c r="J96" s="61" t="n">
        <f aca="true">NOW()</f>
        <v>46139.4171948722</v>
      </c>
    </row>
    <row r="97" customFormat="false" ht="15.75" hidden="false" customHeight="true" outlineLevel="0" collapsed="false">
      <c r="A97" s="25" t="s">
        <v>130</v>
      </c>
      <c r="B97" s="25" t="s">
        <v>86</v>
      </c>
      <c r="C97" s="25" t="s">
        <v>30</v>
      </c>
      <c r="D97" s="25" t="s">
        <v>15</v>
      </c>
      <c r="E97" s="62" t="n">
        <v>917.48</v>
      </c>
      <c r="F97" s="25" t="n">
        <v>6</v>
      </c>
      <c r="G97" s="63" t="n">
        <v>0</v>
      </c>
      <c r="H97" s="64" t="n">
        <v>45558</v>
      </c>
      <c r="I97" s="62" t="n">
        <v>366.99</v>
      </c>
      <c r="J97" s="61" t="n">
        <f aca="true">NOW()</f>
        <v>46139.4171948701</v>
      </c>
    </row>
    <row r="98" customFormat="false" ht="15.75" hidden="false" customHeight="true" outlineLevel="0" collapsed="false">
      <c r="A98" s="57" t="s">
        <v>103</v>
      </c>
      <c r="B98" s="57" t="s">
        <v>123</v>
      </c>
      <c r="C98" s="57" t="s">
        <v>14</v>
      </c>
      <c r="D98" s="57" t="s">
        <v>33</v>
      </c>
      <c r="E98" s="58" t="n">
        <v>1172.97</v>
      </c>
      <c r="F98" s="57" t="n">
        <v>7</v>
      </c>
      <c r="G98" s="59" t="n">
        <v>0.15</v>
      </c>
      <c r="H98" s="60" t="n">
        <v>45559</v>
      </c>
      <c r="I98" s="58" t="n">
        <v>348.96</v>
      </c>
      <c r="J98" s="61" t="n">
        <f aca="true">NOW()</f>
        <v>46139.4171948722</v>
      </c>
    </row>
    <row r="99" customFormat="false" ht="15.75" hidden="false" customHeight="true" outlineLevel="0" collapsed="false">
      <c r="A99" s="25" t="s">
        <v>119</v>
      </c>
      <c r="B99" s="25" t="s">
        <v>89</v>
      </c>
      <c r="C99" s="25" t="s">
        <v>32</v>
      </c>
      <c r="D99" s="25" t="s">
        <v>29</v>
      </c>
      <c r="E99" s="62" t="n">
        <v>1205.82</v>
      </c>
      <c r="F99" s="25" t="n">
        <v>11</v>
      </c>
      <c r="G99" s="63" t="n">
        <v>0.1</v>
      </c>
      <c r="H99" s="64" t="n">
        <v>45559</v>
      </c>
      <c r="I99" s="62" t="n">
        <v>542.62</v>
      </c>
      <c r="J99" s="61" t="n">
        <f aca="true">NOW()</f>
        <v>46139.4171948701</v>
      </c>
    </row>
    <row r="100" customFormat="false" ht="15.75" hidden="false" customHeight="true" outlineLevel="0" collapsed="false">
      <c r="A100" s="57" t="s">
        <v>85</v>
      </c>
      <c r="B100" s="57" t="s">
        <v>126</v>
      </c>
      <c r="C100" s="57" t="s">
        <v>14</v>
      </c>
      <c r="D100" s="57" t="s">
        <v>35</v>
      </c>
      <c r="E100" s="58" t="n">
        <v>826.93</v>
      </c>
      <c r="F100" s="57" t="n">
        <v>10</v>
      </c>
      <c r="G100" s="59" t="n">
        <v>0.2</v>
      </c>
      <c r="H100" s="60" t="n">
        <v>45564</v>
      </c>
      <c r="I100" s="58" t="n">
        <v>297.69</v>
      </c>
      <c r="J100" s="61" t="n">
        <f aca="true">NOW()</f>
        <v>46139.4171948722</v>
      </c>
    </row>
    <row r="101" customFormat="false" ht="15.75" hidden="false" customHeight="true" outlineLevel="0" collapsed="false">
      <c r="A101" s="25" t="s">
        <v>129</v>
      </c>
      <c r="B101" s="25" t="s">
        <v>89</v>
      </c>
      <c r="C101" s="25" t="s">
        <v>28</v>
      </c>
      <c r="D101" s="25" t="s">
        <v>29</v>
      </c>
      <c r="E101" s="62" t="n">
        <v>902.19</v>
      </c>
      <c r="F101" s="25" t="n">
        <v>12</v>
      </c>
      <c r="G101" s="63" t="n">
        <v>0</v>
      </c>
      <c r="H101" s="64" t="n">
        <v>45564</v>
      </c>
      <c r="I101" s="62" t="n">
        <v>451.1</v>
      </c>
      <c r="J101" s="61" t="n">
        <f aca="true">NOW()</f>
        <v>46139.4171948701</v>
      </c>
    </row>
    <row r="102" customFormat="false" ht="15.75" hidden="false" customHeight="true" outlineLevel="0" collapsed="false">
      <c r="A102" s="57" t="s">
        <v>136</v>
      </c>
      <c r="B102" s="57" t="s">
        <v>101</v>
      </c>
      <c r="C102" s="57" t="s">
        <v>32</v>
      </c>
      <c r="D102" s="57" t="s">
        <v>15</v>
      </c>
      <c r="E102" s="58" t="n">
        <v>585.97</v>
      </c>
      <c r="F102" s="57" t="n">
        <v>17</v>
      </c>
      <c r="G102" s="59" t="n">
        <v>0.1</v>
      </c>
      <c r="H102" s="60" t="n">
        <v>45565</v>
      </c>
      <c r="I102" s="58" t="n">
        <v>210.95</v>
      </c>
      <c r="J102" s="61" t="n">
        <f aca="true">NOW()</f>
        <v>46139.4171948722</v>
      </c>
    </row>
    <row r="103" customFormat="false" ht="15.75" hidden="false" customHeight="true" outlineLevel="0" collapsed="false">
      <c r="A103" s="25" t="s">
        <v>122</v>
      </c>
      <c r="B103" s="25" t="s">
        <v>91</v>
      </c>
      <c r="C103" s="25" t="s">
        <v>32</v>
      </c>
      <c r="D103" s="25" t="s">
        <v>29</v>
      </c>
      <c r="E103" s="62" t="n">
        <v>990.19</v>
      </c>
      <c r="F103" s="25" t="n">
        <v>8</v>
      </c>
      <c r="G103" s="63" t="n">
        <v>0.1</v>
      </c>
      <c r="H103" s="64" t="n">
        <v>45565</v>
      </c>
      <c r="I103" s="62" t="n">
        <v>445.59</v>
      </c>
      <c r="J103" s="61" t="n">
        <f aca="true">NOW()</f>
        <v>46139.4171948701</v>
      </c>
    </row>
    <row r="104" customFormat="false" ht="15.75" hidden="false" customHeight="true" outlineLevel="0" collapsed="false">
      <c r="A104" s="57" t="s">
        <v>106</v>
      </c>
      <c r="B104" s="57" t="s">
        <v>118</v>
      </c>
      <c r="C104" s="57" t="s">
        <v>28</v>
      </c>
      <c r="D104" s="57" t="s">
        <v>31</v>
      </c>
      <c r="E104" s="58" t="n">
        <v>1014.09</v>
      </c>
      <c r="F104" s="57" t="n">
        <v>13</v>
      </c>
      <c r="G104" s="59" t="n">
        <v>0.2</v>
      </c>
      <c r="H104" s="60" t="n">
        <v>45567</v>
      </c>
      <c r="I104" s="58" t="n">
        <v>202.82</v>
      </c>
      <c r="J104" s="61" t="n">
        <f aca="true">NOW()</f>
        <v>46139.4171948723</v>
      </c>
    </row>
    <row r="105" customFormat="false" ht="15.75" hidden="false" customHeight="true" outlineLevel="0" collapsed="false">
      <c r="A105" s="25" t="s">
        <v>83</v>
      </c>
      <c r="B105" s="25" t="s">
        <v>110</v>
      </c>
      <c r="C105" s="25" t="s">
        <v>32</v>
      </c>
      <c r="D105" s="25" t="s">
        <v>31</v>
      </c>
      <c r="E105" s="62" t="n">
        <v>925.29</v>
      </c>
      <c r="F105" s="25" t="n">
        <v>17</v>
      </c>
      <c r="G105" s="63" t="n">
        <v>0</v>
      </c>
      <c r="H105" s="64" t="n">
        <v>45570</v>
      </c>
      <c r="I105" s="62" t="n">
        <v>231.32</v>
      </c>
      <c r="J105" s="61" t="n">
        <f aca="true">NOW()</f>
        <v>46139.4171948701</v>
      </c>
    </row>
    <row r="106" customFormat="false" ht="15.75" hidden="false" customHeight="true" outlineLevel="0" collapsed="false">
      <c r="A106" s="57" t="s">
        <v>116</v>
      </c>
      <c r="B106" s="57" t="s">
        <v>109</v>
      </c>
      <c r="C106" s="57" t="s">
        <v>34</v>
      </c>
      <c r="D106" s="57" t="s">
        <v>33</v>
      </c>
      <c r="E106" s="58" t="n">
        <v>1286.54</v>
      </c>
      <c r="F106" s="57" t="n">
        <v>8</v>
      </c>
      <c r="G106" s="59" t="n">
        <v>0</v>
      </c>
      <c r="H106" s="60" t="n">
        <v>45575</v>
      </c>
      <c r="I106" s="58" t="n">
        <v>450.29</v>
      </c>
      <c r="J106" s="61" t="n">
        <f aca="true">NOW()</f>
        <v>46139.4171948723</v>
      </c>
    </row>
    <row r="107" customFormat="false" ht="15.75" hidden="false" customHeight="true" outlineLevel="0" collapsed="false">
      <c r="A107" s="25" t="s">
        <v>100</v>
      </c>
      <c r="B107" s="25" t="s">
        <v>126</v>
      </c>
      <c r="C107" s="25" t="s">
        <v>30</v>
      </c>
      <c r="D107" s="25" t="s">
        <v>15</v>
      </c>
      <c r="E107" s="62" t="n">
        <v>961.62</v>
      </c>
      <c r="F107" s="25" t="n">
        <v>8</v>
      </c>
      <c r="G107" s="63" t="n">
        <v>0.2</v>
      </c>
      <c r="H107" s="64" t="n">
        <v>45577</v>
      </c>
      <c r="I107" s="62" t="n">
        <v>307.72</v>
      </c>
      <c r="J107" s="61" t="n">
        <f aca="true">NOW()</f>
        <v>46139.4171948701</v>
      </c>
    </row>
    <row r="108" customFormat="false" ht="15.75" hidden="false" customHeight="true" outlineLevel="0" collapsed="false">
      <c r="A108" s="57" t="s">
        <v>106</v>
      </c>
      <c r="B108" s="57" t="s">
        <v>89</v>
      </c>
      <c r="C108" s="57" t="s">
        <v>34</v>
      </c>
      <c r="D108" s="57" t="s">
        <v>15</v>
      </c>
      <c r="E108" s="58" t="n">
        <v>1081.14</v>
      </c>
      <c r="F108" s="57" t="n">
        <v>19</v>
      </c>
      <c r="G108" s="59" t="n">
        <v>0.15</v>
      </c>
      <c r="H108" s="60" t="n">
        <v>45577</v>
      </c>
      <c r="I108" s="58" t="n">
        <v>367.59</v>
      </c>
      <c r="J108" s="61" t="n">
        <f aca="true">NOW()</f>
        <v>46139.4171948723</v>
      </c>
    </row>
    <row r="109" customFormat="false" ht="15.75" hidden="false" customHeight="true" outlineLevel="0" collapsed="false">
      <c r="A109" s="25" t="s">
        <v>120</v>
      </c>
      <c r="B109" s="25" t="s">
        <v>89</v>
      </c>
      <c r="C109" s="25" t="s">
        <v>14</v>
      </c>
      <c r="D109" s="25" t="s">
        <v>29</v>
      </c>
      <c r="E109" s="62" t="n">
        <v>1923.66</v>
      </c>
      <c r="F109" s="25" t="n">
        <v>9</v>
      </c>
      <c r="G109" s="63" t="n">
        <v>0.2</v>
      </c>
      <c r="H109" s="64" t="n">
        <v>45580</v>
      </c>
      <c r="I109" s="62" t="n">
        <v>769.46</v>
      </c>
      <c r="J109" s="61" t="n">
        <f aca="true">NOW()</f>
        <v>46139.4171948701</v>
      </c>
    </row>
    <row r="110" customFormat="false" ht="15.75" hidden="false" customHeight="true" outlineLevel="0" collapsed="false">
      <c r="A110" s="57" t="s">
        <v>116</v>
      </c>
      <c r="B110" s="57" t="s">
        <v>128</v>
      </c>
      <c r="C110" s="57" t="s">
        <v>28</v>
      </c>
      <c r="D110" s="57" t="s">
        <v>29</v>
      </c>
      <c r="E110" s="58" t="n">
        <v>728.71</v>
      </c>
      <c r="F110" s="57" t="n">
        <v>14</v>
      </c>
      <c r="G110" s="59" t="n">
        <v>0.1</v>
      </c>
      <c r="H110" s="60" t="n">
        <v>45581</v>
      </c>
      <c r="I110" s="58" t="n">
        <v>327.92</v>
      </c>
      <c r="J110" s="61" t="n">
        <f aca="true">NOW()</f>
        <v>46139.4171948723</v>
      </c>
    </row>
    <row r="111" customFormat="false" ht="15.75" hidden="false" customHeight="true" outlineLevel="0" collapsed="false">
      <c r="A111" s="25" t="s">
        <v>81</v>
      </c>
      <c r="B111" s="25" t="s">
        <v>97</v>
      </c>
      <c r="C111" s="25" t="s">
        <v>28</v>
      </c>
      <c r="D111" s="25" t="s">
        <v>29</v>
      </c>
      <c r="E111" s="62" t="n">
        <v>1301.89</v>
      </c>
      <c r="F111" s="25" t="n">
        <v>7</v>
      </c>
      <c r="G111" s="63" t="n">
        <v>0.15</v>
      </c>
      <c r="H111" s="64" t="n">
        <v>45581</v>
      </c>
      <c r="I111" s="62" t="n">
        <v>553.3</v>
      </c>
      <c r="J111" s="61" t="n">
        <f aca="true">NOW()</f>
        <v>46139.4171948701</v>
      </c>
    </row>
    <row r="112" customFormat="false" ht="15.75" hidden="false" customHeight="true" outlineLevel="0" collapsed="false">
      <c r="A112" s="57" t="s">
        <v>132</v>
      </c>
      <c r="B112" s="57" t="s">
        <v>128</v>
      </c>
      <c r="C112" s="57" t="s">
        <v>34</v>
      </c>
      <c r="D112" s="57" t="s">
        <v>15</v>
      </c>
      <c r="E112" s="58" t="n">
        <v>980.18</v>
      </c>
      <c r="F112" s="57" t="n">
        <v>16</v>
      </c>
      <c r="G112" s="59" t="n">
        <v>0.1</v>
      </c>
      <c r="H112" s="60" t="n">
        <v>45582</v>
      </c>
      <c r="I112" s="58" t="n">
        <v>352.86</v>
      </c>
      <c r="J112" s="61" t="n">
        <f aca="true">NOW()</f>
        <v>46139.4171948723</v>
      </c>
    </row>
    <row r="113" customFormat="false" ht="15.75" hidden="false" customHeight="true" outlineLevel="0" collapsed="false">
      <c r="A113" s="25" t="s">
        <v>136</v>
      </c>
      <c r="B113" s="25" t="s">
        <v>89</v>
      </c>
      <c r="C113" s="25" t="s">
        <v>14</v>
      </c>
      <c r="D113" s="25" t="s">
        <v>29</v>
      </c>
      <c r="E113" s="62" t="n">
        <v>697.57</v>
      </c>
      <c r="F113" s="25" t="n">
        <v>17</v>
      </c>
      <c r="G113" s="63" t="n">
        <v>0.1</v>
      </c>
      <c r="H113" s="64" t="n">
        <v>45584</v>
      </c>
      <c r="I113" s="62" t="n">
        <v>313.91</v>
      </c>
      <c r="J113" s="61" t="n">
        <f aca="true">NOW()</f>
        <v>46139.4171948701</v>
      </c>
    </row>
    <row r="114" customFormat="false" ht="15.75" hidden="false" customHeight="true" outlineLevel="0" collapsed="false">
      <c r="A114" s="57" t="s">
        <v>108</v>
      </c>
      <c r="B114" s="57" t="s">
        <v>133</v>
      </c>
      <c r="C114" s="57" t="s">
        <v>14</v>
      </c>
      <c r="D114" s="57" t="s">
        <v>33</v>
      </c>
      <c r="E114" s="58" t="n">
        <v>1193.61</v>
      </c>
      <c r="F114" s="57" t="n">
        <v>1</v>
      </c>
      <c r="G114" s="59" t="n">
        <v>0.15</v>
      </c>
      <c r="H114" s="60" t="n">
        <v>45584</v>
      </c>
      <c r="I114" s="58" t="n">
        <v>355.1</v>
      </c>
      <c r="J114" s="61" t="n">
        <f aca="true">NOW()</f>
        <v>46139.4171948723</v>
      </c>
    </row>
    <row r="115" customFormat="false" ht="15.75" hidden="false" customHeight="true" outlineLevel="0" collapsed="false">
      <c r="A115" s="25" t="s">
        <v>96</v>
      </c>
      <c r="B115" s="25" t="s">
        <v>101</v>
      </c>
      <c r="C115" s="25" t="s">
        <v>30</v>
      </c>
      <c r="D115" s="25" t="s">
        <v>31</v>
      </c>
      <c r="E115" s="62" t="n">
        <v>771.02</v>
      </c>
      <c r="F115" s="25" t="n">
        <v>1</v>
      </c>
      <c r="G115" s="63" t="n">
        <v>0</v>
      </c>
      <c r="H115" s="64" t="n">
        <v>45585</v>
      </c>
      <c r="I115" s="62" t="n">
        <v>192.76</v>
      </c>
      <c r="J115" s="61" t="n">
        <f aca="true">NOW()</f>
        <v>46139.4171948701</v>
      </c>
    </row>
    <row r="116" customFormat="false" ht="15.75" hidden="false" customHeight="true" outlineLevel="0" collapsed="false">
      <c r="A116" s="57" t="s">
        <v>129</v>
      </c>
      <c r="B116" s="57" t="s">
        <v>131</v>
      </c>
      <c r="C116" s="57" t="s">
        <v>32</v>
      </c>
      <c r="D116" s="57" t="s">
        <v>29</v>
      </c>
      <c r="E116" s="58" t="n">
        <v>661.09</v>
      </c>
      <c r="F116" s="57" t="n">
        <v>1</v>
      </c>
      <c r="G116" s="59" t="n">
        <v>0.2</v>
      </c>
      <c r="H116" s="60" t="n">
        <v>45593</v>
      </c>
      <c r="I116" s="58" t="n">
        <v>264.44</v>
      </c>
      <c r="J116" s="61" t="n">
        <f aca="true">NOW()</f>
        <v>46139.4171948723</v>
      </c>
    </row>
    <row r="117" customFormat="false" ht="15.75" hidden="false" customHeight="true" outlineLevel="0" collapsed="false">
      <c r="A117" s="25" t="s">
        <v>83</v>
      </c>
      <c r="B117" s="25" t="s">
        <v>117</v>
      </c>
      <c r="C117" s="25" t="s">
        <v>14</v>
      </c>
      <c r="D117" s="25" t="s">
        <v>31</v>
      </c>
      <c r="E117" s="62" t="n">
        <v>688.83</v>
      </c>
      <c r="F117" s="25" t="n">
        <v>15</v>
      </c>
      <c r="G117" s="63" t="n">
        <v>0</v>
      </c>
      <c r="H117" s="64" t="n">
        <v>45595</v>
      </c>
      <c r="I117" s="62" t="n">
        <v>172.21</v>
      </c>
      <c r="J117" s="61" t="n">
        <f aca="true">NOW()</f>
        <v>46139.4171948701</v>
      </c>
    </row>
    <row r="118" customFormat="false" ht="15.75" hidden="false" customHeight="true" outlineLevel="0" collapsed="false">
      <c r="A118" s="57" t="s">
        <v>135</v>
      </c>
      <c r="B118" s="57" t="s">
        <v>93</v>
      </c>
      <c r="C118" s="57" t="s">
        <v>28</v>
      </c>
      <c r="D118" s="57" t="s">
        <v>15</v>
      </c>
      <c r="E118" s="58" t="n">
        <v>1249.1</v>
      </c>
      <c r="F118" s="57" t="n">
        <v>4</v>
      </c>
      <c r="G118" s="59" t="n">
        <v>0.05</v>
      </c>
      <c r="H118" s="60" t="n">
        <v>45597</v>
      </c>
      <c r="I118" s="58" t="n">
        <v>474.66</v>
      </c>
      <c r="J118" s="61" t="n">
        <f aca="true">NOW()</f>
        <v>46139.4171948723</v>
      </c>
    </row>
    <row r="119" customFormat="false" ht="15.75" hidden="false" customHeight="true" outlineLevel="0" collapsed="false">
      <c r="A119" s="25" t="s">
        <v>106</v>
      </c>
      <c r="B119" s="25" t="s">
        <v>89</v>
      </c>
      <c r="C119" s="25" t="s">
        <v>34</v>
      </c>
      <c r="D119" s="25" t="s">
        <v>35</v>
      </c>
      <c r="E119" s="62" t="n">
        <v>1014.22</v>
      </c>
      <c r="F119" s="25" t="n">
        <v>14</v>
      </c>
      <c r="G119" s="63" t="n">
        <v>0.05</v>
      </c>
      <c r="H119" s="64" t="n">
        <v>45599</v>
      </c>
      <c r="I119" s="62" t="n">
        <v>433.58</v>
      </c>
      <c r="J119" s="61" t="n">
        <f aca="true">NOW()</f>
        <v>46139.4171948701</v>
      </c>
    </row>
    <row r="120" customFormat="false" ht="15.75" hidden="false" customHeight="true" outlineLevel="0" collapsed="false">
      <c r="A120" s="57" t="s">
        <v>116</v>
      </c>
      <c r="B120" s="57" t="s">
        <v>110</v>
      </c>
      <c r="C120" s="57" t="s">
        <v>34</v>
      </c>
      <c r="D120" s="57" t="s">
        <v>15</v>
      </c>
      <c r="E120" s="58" t="n">
        <v>1010.58</v>
      </c>
      <c r="F120" s="57" t="n">
        <v>2</v>
      </c>
      <c r="G120" s="59" t="n">
        <v>0.15</v>
      </c>
      <c r="H120" s="60" t="n">
        <v>45605</v>
      </c>
      <c r="I120" s="58" t="n">
        <v>343.6</v>
      </c>
      <c r="J120" s="61" t="n">
        <f aca="true">NOW()</f>
        <v>46139.4171948723</v>
      </c>
    </row>
    <row r="121" customFormat="false" ht="15.75" hidden="false" customHeight="true" outlineLevel="0" collapsed="false">
      <c r="A121" s="25" t="s">
        <v>94</v>
      </c>
      <c r="B121" s="25" t="s">
        <v>121</v>
      </c>
      <c r="C121" s="25" t="s">
        <v>32</v>
      </c>
      <c r="D121" s="25" t="s">
        <v>33</v>
      </c>
      <c r="E121" s="62" t="n">
        <v>957.29</v>
      </c>
      <c r="F121" s="25" t="n">
        <v>4</v>
      </c>
      <c r="G121" s="63" t="n">
        <v>0.05</v>
      </c>
      <c r="H121" s="64" t="n">
        <v>45605</v>
      </c>
      <c r="I121" s="62" t="n">
        <v>318.3</v>
      </c>
      <c r="J121" s="61" t="n">
        <f aca="true">NOW()</f>
        <v>46139.4171948701</v>
      </c>
    </row>
    <row r="122" customFormat="false" ht="15.75" hidden="false" customHeight="true" outlineLevel="0" collapsed="false">
      <c r="A122" s="57" t="s">
        <v>92</v>
      </c>
      <c r="B122" s="57" t="s">
        <v>107</v>
      </c>
      <c r="C122" s="57" t="s">
        <v>32</v>
      </c>
      <c r="D122" s="57" t="s">
        <v>33</v>
      </c>
      <c r="E122" s="58" t="n">
        <v>1077.92</v>
      </c>
      <c r="F122" s="57" t="n">
        <v>3</v>
      </c>
      <c r="G122" s="59" t="n">
        <v>0.05</v>
      </c>
      <c r="H122" s="60" t="n">
        <v>45608</v>
      </c>
      <c r="I122" s="58" t="n">
        <v>358.41</v>
      </c>
      <c r="J122" s="61" t="n">
        <f aca="true">NOW()</f>
        <v>46139.4171948723</v>
      </c>
    </row>
    <row r="123" customFormat="false" ht="15.75" hidden="false" customHeight="true" outlineLevel="0" collapsed="false">
      <c r="A123" s="25" t="s">
        <v>114</v>
      </c>
      <c r="B123" s="25" t="s">
        <v>112</v>
      </c>
      <c r="C123" s="25" t="s">
        <v>30</v>
      </c>
      <c r="D123" s="25" t="s">
        <v>29</v>
      </c>
      <c r="E123" s="62" t="n">
        <v>1163.01</v>
      </c>
      <c r="F123" s="25" t="n">
        <v>5</v>
      </c>
      <c r="G123" s="63" t="n">
        <v>0</v>
      </c>
      <c r="H123" s="64" t="n">
        <v>45611</v>
      </c>
      <c r="I123" s="62" t="n">
        <v>581.5</v>
      </c>
      <c r="J123" s="61" t="n">
        <f aca="true">NOW()</f>
        <v>46139.4171948701</v>
      </c>
    </row>
    <row r="124" customFormat="false" ht="15.75" hidden="false" customHeight="true" outlineLevel="0" collapsed="false">
      <c r="A124" s="57" t="s">
        <v>116</v>
      </c>
      <c r="B124" s="57" t="s">
        <v>107</v>
      </c>
      <c r="C124" s="57" t="s">
        <v>34</v>
      </c>
      <c r="D124" s="57" t="s">
        <v>35</v>
      </c>
      <c r="E124" s="58" t="n">
        <v>1014.56</v>
      </c>
      <c r="F124" s="57" t="n">
        <v>10</v>
      </c>
      <c r="G124" s="59" t="n">
        <v>0.1</v>
      </c>
      <c r="H124" s="60" t="n">
        <v>45612</v>
      </c>
      <c r="I124" s="58" t="n">
        <v>410.9</v>
      </c>
      <c r="J124" s="61" t="n">
        <f aca="true">NOW()</f>
        <v>46139.4171948723</v>
      </c>
    </row>
    <row r="125" customFormat="false" ht="15.75" hidden="false" customHeight="true" outlineLevel="0" collapsed="false">
      <c r="A125" s="25" t="s">
        <v>81</v>
      </c>
      <c r="B125" s="25" t="s">
        <v>86</v>
      </c>
      <c r="C125" s="25" t="s">
        <v>30</v>
      </c>
      <c r="D125" s="25" t="s">
        <v>31</v>
      </c>
      <c r="E125" s="62" t="n">
        <v>718.04</v>
      </c>
      <c r="F125" s="25" t="n">
        <v>14</v>
      </c>
      <c r="G125" s="63" t="n">
        <v>0</v>
      </c>
      <c r="H125" s="64" t="n">
        <v>45613</v>
      </c>
      <c r="I125" s="62" t="n">
        <v>179.51</v>
      </c>
      <c r="J125" s="61" t="n">
        <f aca="true">NOW()</f>
        <v>46139.4171948701</v>
      </c>
    </row>
    <row r="126" customFormat="false" ht="15.75" hidden="false" customHeight="true" outlineLevel="0" collapsed="false">
      <c r="A126" s="57" t="s">
        <v>134</v>
      </c>
      <c r="B126" s="57" t="s">
        <v>86</v>
      </c>
      <c r="C126" s="57" t="s">
        <v>28</v>
      </c>
      <c r="D126" s="57" t="s">
        <v>29</v>
      </c>
      <c r="E126" s="58" t="n">
        <v>1277.85</v>
      </c>
      <c r="F126" s="57" t="n">
        <v>18</v>
      </c>
      <c r="G126" s="59" t="n">
        <v>0.2</v>
      </c>
      <c r="H126" s="60" t="n">
        <v>45613</v>
      </c>
      <c r="I126" s="58" t="n">
        <v>511.14</v>
      </c>
      <c r="J126" s="61" t="n">
        <f aca="true">NOW()</f>
        <v>46139.4171948723</v>
      </c>
    </row>
    <row r="127" customFormat="false" ht="15.75" hidden="false" customHeight="true" outlineLevel="0" collapsed="false">
      <c r="A127" s="25" t="s">
        <v>132</v>
      </c>
      <c r="B127" s="25" t="s">
        <v>89</v>
      </c>
      <c r="C127" s="25" t="s">
        <v>32</v>
      </c>
      <c r="D127" s="25" t="s">
        <v>31</v>
      </c>
      <c r="E127" s="62" t="n">
        <v>706.73</v>
      </c>
      <c r="F127" s="25" t="n">
        <v>1</v>
      </c>
      <c r="G127" s="63" t="n">
        <v>0.15</v>
      </c>
      <c r="H127" s="64" t="n">
        <v>45613</v>
      </c>
      <c r="I127" s="62" t="n">
        <v>150.18</v>
      </c>
      <c r="J127" s="61" t="n">
        <f aca="true">NOW()</f>
        <v>46139.4171948701</v>
      </c>
    </row>
    <row r="128" customFormat="false" ht="15.75" hidden="false" customHeight="true" outlineLevel="0" collapsed="false">
      <c r="A128" s="57" t="s">
        <v>127</v>
      </c>
      <c r="B128" s="57" t="s">
        <v>112</v>
      </c>
      <c r="C128" s="57" t="s">
        <v>34</v>
      </c>
      <c r="D128" s="57" t="s">
        <v>31</v>
      </c>
      <c r="E128" s="58" t="n">
        <v>1410.59</v>
      </c>
      <c r="F128" s="57" t="n">
        <v>15</v>
      </c>
      <c r="G128" s="59" t="n">
        <v>0</v>
      </c>
      <c r="H128" s="60" t="n">
        <v>45615</v>
      </c>
      <c r="I128" s="58" t="n">
        <v>352.65</v>
      </c>
      <c r="J128" s="61" t="n">
        <f aca="true">NOW()</f>
        <v>46139.4171948723</v>
      </c>
    </row>
    <row r="129" customFormat="false" ht="15.75" hidden="false" customHeight="true" outlineLevel="0" collapsed="false">
      <c r="A129" s="25" t="s">
        <v>96</v>
      </c>
      <c r="B129" s="25" t="s">
        <v>123</v>
      </c>
      <c r="C129" s="25" t="s">
        <v>30</v>
      </c>
      <c r="D129" s="25" t="s">
        <v>33</v>
      </c>
      <c r="E129" s="62" t="n">
        <v>1350.33</v>
      </c>
      <c r="F129" s="25" t="n">
        <v>10</v>
      </c>
      <c r="G129" s="63" t="n">
        <v>0</v>
      </c>
      <c r="H129" s="64" t="n">
        <v>45615</v>
      </c>
      <c r="I129" s="62" t="n">
        <v>472.62</v>
      </c>
      <c r="J129" s="61" t="n">
        <f aca="true">NOW()</f>
        <v>46139.4171948701</v>
      </c>
    </row>
    <row r="130" customFormat="false" ht="15.75" hidden="false" customHeight="true" outlineLevel="0" collapsed="false">
      <c r="A130" s="57" t="s">
        <v>103</v>
      </c>
      <c r="B130" s="57" t="s">
        <v>107</v>
      </c>
      <c r="C130" s="57" t="s">
        <v>34</v>
      </c>
      <c r="D130" s="57" t="s">
        <v>31</v>
      </c>
      <c r="E130" s="58" t="n">
        <v>919.18</v>
      </c>
      <c r="F130" s="57" t="n">
        <v>4</v>
      </c>
      <c r="G130" s="59" t="n">
        <v>0.15</v>
      </c>
      <c r="H130" s="60" t="n">
        <v>45615</v>
      </c>
      <c r="I130" s="58" t="n">
        <v>195.33</v>
      </c>
      <c r="J130" s="61" t="n">
        <f aca="true">NOW()</f>
        <v>46139.4171948723</v>
      </c>
    </row>
    <row r="131" customFormat="false" ht="15.75" hidden="false" customHeight="true" outlineLevel="0" collapsed="false">
      <c r="A131" s="25" t="s">
        <v>136</v>
      </c>
      <c r="B131" s="25" t="s">
        <v>89</v>
      </c>
      <c r="C131" s="25" t="s">
        <v>14</v>
      </c>
      <c r="D131" s="25" t="s">
        <v>31</v>
      </c>
      <c r="E131" s="62" t="n">
        <v>258.51</v>
      </c>
      <c r="F131" s="25" t="n">
        <v>19</v>
      </c>
      <c r="G131" s="63" t="n">
        <v>0</v>
      </c>
      <c r="H131" s="64" t="n">
        <v>45616</v>
      </c>
      <c r="I131" s="62" t="n">
        <v>64.63</v>
      </c>
      <c r="J131" s="61" t="n">
        <f aca="true">NOW()</f>
        <v>46139.4171948701</v>
      </c>
    </row>
    <row r="132" customFormat="false" ht="15.75" hidden="false" customHeight="true" outlineLevel="0" collapsed="false">
      <c r="A132" s="57" t="s">
        <v>125</v>
      </c>
      <c r="B132" s="57" t="s">
        <v>123</v>
      </c>
      <c r="C132" s="57" t="s">
        <v>34</v>
      </c>
      <c r="D132" s="57" t="s">
        <v>15</v>
      </c>
      <c r="E132" s="58" t="n">
        <v>1213.48</v>
      </c>
      <c r="F132" s="57" t="n">
        <v>5</v>
      </c>
      <c r="G132" s="59" t="n">
        <v>0.05</v>
      </c>
      <c r="H132" s="60" t="n">
        <v>45616</v>
      </c>
      <c r="I132" s="58" t="n">
        <v>461.12</v>
      </c>
      <c r="J132" s="61" t="n">
        <f aca="true">NOW()</f>
        <v>46139.4171948724</v>
      </c>
    </row>
    <row r="133" customFormat="false" ht="15.75" hidden="false" customHeight="true" outlineLevel="0" collapsed="false">
      <c r="A133" s="25" t="s">
        <v>119</v>
      </c>
      <c r="B133" s="25" t="s">
        <v>101</v>
      </c>
      <c r="C133" s="25" t="s">
        <v>28</v>
      </c>
      <c r="D133" s="25" t="s">
        <v>15</v>
      </c>
      <c r="E133" s="62" t="n">
        <v>1150.28</v>
      </c>
      <c r="F133" s="25" t="n">
        <v>8</v>
      </c>
      <c r="G133" s="63" t="n">
        <v>0.05</v>
      </c>
      <c r="H133" s="64" t="n">
        <v>45622</v>
      </c>
      <c r="I133" s="62" t="n">
        <v>437.11</v>
      </c>
      <c r="J133" s="61" t="n">
        <f aca="true">NOW()</f>
        <v>46139.4171948701</v>
      </c>
    </row>
    <row r="134" customFormat="false" ht="15.75" hidden="false" customHeight="true" outlineLevel="0" collapsed="false">
      <c r="A134" s="57" t="s">
        <v>100</v>
      </c>
      <c r="B134" s="57" t="s">
        <v>133</v>
      </c>
      <c r="C134" s="57" t="s">
        <v>30</v>
      </c>
      <c r="D134" s="57" t="s">
        <v>33</v>
      </c>
      <c r="E134" s="58" t="n">
        <v>853.86</v>
      </c>
      <c r="F134" s="57" t="n">
        <v>8</v>
      </c>
      <c r="G134" s="59" t="n">
        <v>0.1</v>
      </c>
      <c r="H134" s="60" t="n">
        <v>45622</v>
      </c>
      <c r="I134" s="58" t="n">
        <v>268.97</v>
      </c>
      <c r="J134" s="61" t="n">
        <f aca="true">NOW()</f>
        <v>46139.4171948724</v>
      </c>
    </row>
    <row r="135" customFormat="false" ht="15.75" hidden="false" customHeight="true" outlineLevel="0" collapsed="false">
      <c r="A135" s="25" t="s">
        <v>137</v>
      </c>
      <c r="B135" s="25" t="s">
        <v>107</v>
      </c>
      <c r="C135" s="25" t="s">
        <v>30</v>
      </c>
      <c r="D135" s="25" t="s">
        <v>31</v>
      </c>
      <c r="E135" s="62" t="n">
        <v>1061.04</v>
      </c>
      <c r="F135" s="25" t="n">
        <v>1</v>
      </c>
      <c r="G135" s="63" t="n">
        <v>0</v>
      </c>
      <c r="H135" s="64" t="n">
        <v>45624</v>
      </c>
      <c r="I135" s="62" t="n">
        <v>265.26</v>
      </c>
      <c r="J135" s="61" t="n">
        <f aca="true">NOW()</f>
        <v>46139.4171948701</v>
      </c>
    </row>
    <row r="136" customFormat="false" ht="15.75" hidden="false" customHeight="true" outlineLevel="0" collapsed="false">
      <c r="A136" s="57" t="s">
        <v>92</v>
      </c>
      <c r="B136" s="57" t="s">
        <v>105</v>
      </c>
      <c r="C136" s="57" t="s">
        <v>14</v>
      </c>
      <c r="D136" s="57" t="s">
        <v>31</v>
      </c>
      <c r="E136" s="58" t="n">
        <v>894.55</v>
      </c>
      <c r="F136" s="57" t="n">
        <v>19</v>
      </c>
      <c r="G136" s="59" t="n">
        <v>0.2</v>
      </c>
      <c r="H136" s="60" t="n">
        <v>45625</v>
      </c>
      <c r="I136" s="58" t="n">
        <v>178.91</v>
      </c>
      <c r="J136" s="61" t="n">
        <f aca="true">NOW()</f>
        <v>46139.4171948724</v>
      </c>
    </row>
    <row r="137" customFormat="false" ht="15.75" hidden="false" customHeight="true" outlineLevel="0" collapsed="false">
      <c r="A137" s="25" t="s">
        <v>90</v>
      </c>
      <c r="B137" s="25" t="s">
        <v>101</v>
      </c>
      <c r="C137" s="25" t="s">
        <v>32</v>
      </c>
      <c r="D137" s="25" t="s">
        <v>35</v>
      </c>
      <c r="E137" s="62" t="n">
        <v>833.91</v>
      </c>
      <c r="F137" s="25" t="n">
        <v>3</v>
      </c>
      <c r="G137" s="63" t="n">
        <v>0.05</v>
      </c>
      <c r="H137" s="64" t="n">
        <v>45626</v>
      </c>
      <c r="I137" s="62" t="n">
        <v>356.5</v>
      </c>
      <c r="J137" s="61" t="n">
        <f aca="true">NOW()</f>
        <v>46139.4171948702</v>
      </c>
    </row>
    <row r="138" customFormat="false" ht="15.75" hidden="false" customHeight="true" outlineLevel="0" collapsed="false">
      <c r="A138" s="57" t="s">
        <v>120</v>
      </c>
      <c r="B138" s="57" t="s">
        <v>133</v>
      </c>
      <c r="C138" s="57" t="s">
        <v>14</v>
      </c>
      <c r="D138" s="57" t="s">
        <v>33</v>
      </c>
      <c r="E138" s="58" t="n">
        <v>820.19</v>
      </c>
      <c r="F138" s="57" t="n">
        <v>4</v>
      </c>
      <c r="G138" s="59" t="n">
        <v>0.2</v>
      </c>
      <c r="H138" s="60" t="n">
        <v>45630</v>
      </c>
      <c r="I138" s="58" t="n">
        <v>229.65</v>
      </c>
      <c r="J138" s="61" t="n">
        <f aca="true">NOW()</f>
        <v>46139.4171948724</v>
      </c>
    </row>
    <row r="139" customFormat="false" ht="15.75" hidden="false" customHeight="true" outlineLevel="0" collapsed="false">
      <c r="A139" s="25" t="s">
        <v>120</v>
      </c>
      <c r="B139" s="25" t="s">
        <v>101</v>
      </c>
      <c r="C139" s="25" t="s">
        <v>28</v>
      </c>
      <c r="D139" s="25" t="s">
        <v>31</v>
      </c>
      <c r="E139" s="62" t="n">
        <v>511.74</v>
      </c>
      <c r="F139" s="25" t="n">
        <v>8</v>
      </c>
      <c r="G139" s="63" t="n">
        <v>0.05</v>
      </c>
      <c r="H139" s="64" t="n">
        <v>45631</v>
      </c>
      <c r="I139" s="62" t="n">
        <v>121.54</v>
      </c>
      <c r="J139" s="61" t="n">
        <f aca="true">NOW()</f>
        <v>46139.4171948702</v>
      </c>
    </row>
    <row r="140" customFormat="false" ht="15.75" hidden="false" customHeight="true" outlineLevel="0" collapsed="false">
      <c r="A140" s="57" t="s">
        <v>127</v>
      </c>
      <c r="B140" s="57" t="s">
        <v>123</v>
      </c>
      <c r="C140" s="57" t="s">
        <v>30</v>
      </c>
      <c r="D140" s="57" t="s">
        <v>33</v>
      </c>
      <c r="E140" s="58" t="n">
        <v>806.03</v>
      </c>
      <c r="F140" s="57" t="n">
        <v>19</v>
      </c>
      <c r="G140" s="59" t="n">
        <v>0.05</v>
      </c>
      <c r="H140" s="60" t="n">
        <v>45638</v>
      </c>
      <c r="I140" s="58" t="n">
        <v>268</v>
      </c>
      <c r="J140" s="61" t="n">
        <f aca="true">NOW()</f>
        <v>46139.4171948724</v>
      </c>
    </row>
    <row r="141" customFormat="false" ht="15.75" hidden="false" customHeight="true" outlineLevel="0" collapsed="false">
      <c r="A141" s="25" t="s">
        <v>92</v>
      </c>
      <c r="B141" s="25" t="s">
        <v>91</v>
      </c>
      <c r="C141" s="25" t="s">
        <v>28</v>
      </c>
      <c r="D141" s="25" t="s">
        <v>33</v>
      </c>
      <c r="E141" s="62" t="n">
        <v>1432.47</v>
      </c>
      <c r="F141" s="25" t="n">
        <v>16</v>
      </c>
      <c r="G141" s="63" t="n">
        <v>0.15</v>
      </c>
      <c r="H141" s="64" t="n">
        <v>45640</v>
      </c>
      <c r="I141" s="62" t="n">
        <v>426.16</v>
      </c>
      <c r="J141" s="61" t="n">
        <f aca="true">NOW()</f>
        <v>46139.4171948702</v>
      </c>
    </row>
    <row r="142" customFormat="false" ht="15.75" hidden="false" customHeight="true" outlineLevel="0" collapsed="false">
      <c r="A142" s="57" t="s">
        <v>136</v>
      </c>
      <c r="B142" s="57" t="s">
        <v>93</v>
      </c>
      <c r="C142" s="57" t="s">
        <v>28</v>
      </c>
      <c r="D142" s="57" t="s">
        <v>31</v>
      </c>
      <c r="E142" s="58" t="n">
        <v>1488.58</v>
      </c>
      <c r="F142" s="57" t="n">
        <v>10</v>
      </c>
      <c r="G142" s="59" t="n">
        <v>0.15</v>
      </c>
      <c r="H142" s="60" t="n">
        <v>45640</v>
      </c>
      <c r="I142" s="58" t="n">
        <v>316.32</v>
      </c>
      <c r="J142" s="61" t="n">
        <f aca="true">NOW()</f>
        <v>46139.4171948724</v>
      </c>
    </row>
    <row r="143" customFormat="false" ht="15.75" hidden="false" customHeight="true" outlineLevel="0" collapsed="false">
      <c r="A143" s="25" t="s">
        <v>94</v>
      </c>
      <c r="B143" s="25" t="s">
        <v>128</v>
      </c>
      <c r="C143" s="25" t="s">
        <v>34</v>
      </c>
      <c r="D143" s="25" t="s">
        <v>15</v>
      </c>
      <c r="E143" s="62" t="n">
        <v>1231.26</v>
      </c>
      <c r="F143" s="25" t="n">
        <v>9</v>
      </c>
      <c r="G143" s="63" t="n">
        <v>0</v>
      </c>
      <c r="H143" s="64" t="n">
        <v>45646</v>
      </c>
      <c r="I143" s="62" t="n">
        <v>492.5</v>
      </c>
      <c r="J143" s="61" t="n">
        <f aca="true">NOW()</f>
        <v>46139.4171948702</v>
      </c>
    </row>
    <row r="144" customFormat="false" ht="15.75" hidden="false" customHeight="true" outlineLevel="0" collapsed="false">
      <c r="A144" s="57" t="s">
        <v>94</v>
      </c>
      <c r="B144" s="57" t="s">
        <v>105</v>
      </c>
      <c r="C144" s="57" t="s">
        <v>14</v>
      </c>
      <c r="D144" s="57" t="s">
        <v>31</v>
      </c>
      <c r="E144" s="58" t="n">
        <v>1161.67</v>
      </c>
      <c r="F144" s="57" t="n">
        <v>19</v>
      </c>
      <c r="G144" s="59" t="n">
        <v>0.2</v>
      </c>
      <c r="H144" s="60" t="n">
        <v>45647</v>
      </c>
      <c r="I144" s="58" t="n">
        <v>232.33</v>
      </c>
      <c r="J144" s="61" t="n">
        <f aca="true">NOW()</f>
        <v>46139.4171948724</v>
      </c>
    </row>
    <row r="145" customFormat="false" ht="15.75" hidden="false" customHeight="true" outlineLevel="0" collapsed="false">
      <c r="A145" s="25" t="s">
        <v>111</v>
      </c>
      <c r="B145" s="25" t="s">
        <v>107</v>
      </c>
      <c r="C145" s="25" t="s">
        <v>28</v>
      </c>
      <c r="D145" s="25" t="s">
        <v>35</v>
      </c>
      <c r="E145" s="62" t="n">
        <v>388.23</v>
      </c>
      <c r="F145" s="25" t="n">
        <v>16</v>
      </c>
      <c r="G145" s="63" t="n">
        <v>0.05</v>
      </c>
      <c r="H145" s="64" t="n">
        <v>45650</v>
      </c>
      <c r="I145" s="62" t="n">
        <v>165.97</v>
      </c>
      <c r="J145" s="61" t="n">
        <f aca="true">NOW()</f>
        <v>46139.4171948702</v>
      </c>
    </row>
    <row r="146" customFormat="false" ht="15.75" hidden="false" customHeight="true" outlineLevel="0" collapsed="false">
      <c r="A146" s="57" t="s">
        <v>134</v>
      </c>
      <c r="B146" s="57" t="s">
        <v>95</v>
      </c>
      <c r="C146" s="57" t="s">
        <v>32</v>
      </c>
      <c r="D146" s="57" t="s">
        <v>29</v>
      </c>
      <c r="E146" s="58" t="n">
        <v>1589.42</v>
      </c>
      <c r="F146" s="57" t="n">
        <v>6</v>
      </c>
      <c r="G146" s="59" t="n">
        <v>0.15</v>
      </c>
      <c r="H146" s="60" t="n">
        <v>45651</v>
      </c>
      <c r="I146" s="58" t="n">
        <v>675.5</v>
      </c>
      <c r="J146" s="61" t="n">
        <f aca="true">NOW()</f>
        <v>46139.4171948724</v>
      </c>
    </row>
    <row r="147" customFormat="false" ht="15.75" hidden="false" customHeight="true" outlineLevel="0" collapsed="false">
      <c r="A147" s="25" t="s">
        <v>92</v>
      </c>
      <c r="B147" s="25" t="s">
        <v>133</v>
      </c>
      <c r="C147" s="25" t="s">
        <v>32</v>
      </c>
      <c r="D147" s="25" t="s">
        <v>29</v>
      </c>
      <c r="E147" s="62" t="n">
        <v>336.66</v>
      </c>
      <c r="F147" s="25" t="n">
        <v>13</v>
      </c>
      <c r="G147" s="63" t="n">
        <v>0.2</v>
      </c>
      <c r="H147" s="64" t="n">
        <v>45651</v>
      </c>
      <c r="I147" s="62" t="n">
        <v>134.66</v>
      </c>
      <c r="J147" s="61" t="n">
        <f aca="true">NOW()</f>
        <v>46139.4171948702</v>
      </c>
    </row>
    <row r="148" customFormat="false" ht="15.75" hidden="false" customHeight="true" outlineLevel="0" collapsed="false">
      <c r="A148" s="57" t="s">
        <v>111</v>
      </c>
      <c r="B148" s="57" t="s">
        <v>89</v>
      </c>
      <c r="C148" s="57" t="s">
        <v>14</v>
      </c>
      <c r="D148" s="57" t="s">
        <v>15</v>
      </c>
      <c r="E148" s="58" t="n">
        <v>1353.79</v>
      </c>
      <c r="F148" s="57" t="n">
        <v>14</v>
      </c>
      <c r="G148" s="59" t="n">
        <v>0.1</v>
      </c>
      <c r="H148" s="60" t="n">
        <v>45656</v>
      </c>
      <c r="I148" s="58" t="n">
        <v>487.36</v>
      </c>
      <c r="J148" s="61" t="n">
        <f aca="true">NOW()</f>
        <v>46139.4171948724</v>
      </c>
    </row>
    <row r="149" customFormat="false" ht="15.75" hidden="false" customHeight="true" outlineLevel="0" collapsed="false">
      <c r="A149" s="25" t="s">
        <v>125</v>
      </c>
      <c r="B149" s="25" t="s">
        <v>131</v>
      </c>
      <c r="C149" s="25" t="s">
        <v>28</v>
      </c>
      <c r="D149" s="25" t="s">
        <v>29</v>
      </c>
      <c r="E149" s="62" t="n">
        <v>662.61</v>
      </c>
      <c r="F149" s="25" t="n">
        <v>11</v>
      </c>
      <c r="G149" s="63" t="n">
        <v>0.05</v>
      </c>
      <c r="H149" s="64" t="n">
        <v>45658</v>
      </c>
      <c r="I149" s="62" t="n">
        <v>314.74</v>
      </c>
      <c r="J149" s="61" t="n">
        <f aca="true">NOW()</f>
        <v>46139.4171948702</v>
      </c>
    </row>
    <row r="150" customFormat="false" ht="15.75" hidden="false" customHeight="true" outlineLevel="0" collapsed="false">
      <c r="A150" s="57" t="s">
        <v>114</v>
      </c>
      <c r="B150" s="57" t="s">
        <v>110</v>
      </c>
      <c r="C150" s="57" t="s">
        <v>32</v>
      </c>
      <c r="D150" s="57" t="s">
        <v>35</v>
      </c>
      <c r="E150" s="58" t="n">
        <v>309.42</v>
      </c>
      <c r="F150" s="57" t="n">
        <v>1</v>
      </c>
      <c r="G150" s="59" t="n">
        <v>0.2</v>
      </c>
      <c r="H150" s="60" t="n">
        <v>45658</v>
      </c>
      <c r="I150" s="58" t="n">
        <v>111.39</v>
      </c>
      <c r="J150" s="61" t="n">
        <f aca="true">NOW()</f>
        <v>46139.4171948724</v>
      </c>
    </row>
    <row r="151" customFormat="false" ht="15.75" hidden="false" customHeight="true" outlineLevel="0" collapsed="false">
      <c r="A151" s="25" t="s">
        <v>125</v>
      </c>
      <c r="B151" s="25" t="s">
        <v>93</v>
      </c>
      <c r="C151" s="25" t="s">
        <v>32</v>
      </c>
      <c r="D151" s="25" t="s">
        <v>15</v>
      </c>
      <c r="E151" s="62" t="n">
        <v>884.63</v>
      </c>
      <c r="F151" s="25" t="n">
        <v>18</v>
      </c>
      <c r="G151" s="63" t="n">
        <v>0.1</v>
      </c>
      <c r="H151" s="64" t="n">
        <v>45659</v>
      </c>
      <c r="I151" s="62" t="n">
        <v>318.47</v>
      </c>
      <c r="J151" s="61" t="n">
        <f aca="true">NOW()</f>
        <v>46139.4171948702</v>
      </c>
    </row>
    <row r="152" customFormat="false" ht="15.75" hidden="false" customHeight="true" outlineLevel="0" collapsed="false">
      <c r="A152" s="57" t="s">
        <v>114</v>
      </c>
      <c r="B152" s="57" t="s">
        <v>89</v>
      </c>
      <c r="C152" s="57" t="s">
        <v>28</v>
      </c>
      <c r="D152" s="57" t="s">
        <v>35</v>
      </c>
      <c r="E152" s="58" t="n">
        <v>745.05</v>
      </c>
      <c r="F152" s="57" t="n">
        <v>10</v>
      </c>
      <c r="G152" s="59" t="n">
        <v>0.1</v>
      </c>
      <c r="H152" s="60" t="n">
        <v>45660</v>
      </c>
      <c r="I152" s="58" t="n">
        <v>301.75</v>
      </c>
      <c r="J152" s="61" t="n">
        <f aca="true">NOW()</f>
        <v>46139.4171948724</v>
      </c>
    </row>
    <row r="153" customFormat="false" ht="15.75" hidden="false" customHeight="true" outlineLevel="0" collapsed="false">
      <c r="A153" s="25" t="s">
        <v>122</v>
      </c>
      <c r="B153" s="25" t="s">
        <v>86</v>
      </c>
      <c r="C153" s="25" t="s">
        <v>30</v>
      </c>
      <c r="D153" s="25" t="s">
        <v>29</v>
      </c>
      <c r="E153" s="62" t="n">
        <v>870.23</v>
      </c>
      <c r="F153" s="25" t="n">
        <v>5</v>
      </c>
      <c r="G153" s="63" t="n">
        <v>0.05</v>
      </c>
      <c r="H153" s="64" t="n">
        <v>45660</v>
      </c>
      <c r="I153" s="62" t="n">
        <v>413.36</v>
      </c>
      <c r="J153" s="61" t="n">
        <f aca="true">NOW()</f>
        <v>46139.4171948702</v>
      </c>
    </row>
    <row r="154" customFormat="false" ht="15.75" hidden="false" customHeight="true" outlineLevel="0" collapsed="false">
      <c r="A154" s="57" t="s">
        <v>98</v>
      </c>
      <c r="B154" s="57" t="s">
        <v>93</v>
      </c>
      <c r="C154" s="57" t="s">
        <v>14</v>
      </c>
      <c r="D154" s="57" t="s">
        <v>33</v>
      </c>
      <c r="E154" s="58" t="n">
        <v>862.19</v>
      </c>
      <c r="F154" s="57" t="n">
        <v>18</v>
      </c>
      <c r="G154" s="59" t="n">
        <v>0.05</v>
      </c>
      <c r="H154" s="60" t="n">
        <v>45663</v>
      </c>
      <c r="I154" s="58" t="n">
        <v>286.68</v>
      </c>
      <c r="J154" s="61" t="n">
        <f aca="true">NOW()</f>
        <v>46139.4171948724</v>
      </c>
    </row>
    <row r="155" customFormat="false" ht="15.75" hidden="false" customHeight="true" outlineLevel="0" collapsed="false">
      <c r="A155" s="25" t="s">
        <v>135</v>
      </c>
      <c r="B155" s="25" t="s">
        <v>121</v>
      </c>
      <c r="C155" s="25" t="s">
        <v>32</v>
      </c>
      <c r="D155" s="25" t="s">
        <v>29</v>
      </c>
      <c r="E155" s="62" t="n">
        <v>1171.18</v>
      </c>
      <c r="F155" s="25" t="n">
        <v>19</v>
      </c>
      <c r="G155" s="63" t="n">
        <v>0.05</v>
      </c>
      <c r="H155" s="64" t="n">
        <v>45667</v>
      </c>
      <c r="I155" s="62" t="n">
        <v>556.31</v>
      </c>
      <c r="J155" s="61" t="n">
        <f aca="true">NOW()</f>
        <v>46139.4171948702</v>
      </c>
    </row>
    <row r="156" customFormat="false" ht="15.75" hidden="false" customHeight="true" outlineLevel="0" collapsed="false">
      <c r="A156" s="57" t="s">
        <v>120</v>
      </c>
      <c r="B156" s="57" t="s">
        <v>84</v>
      </c>
      <c r="C156" s="57" t="s">
        <v>30</v>
      </c>
      <c r="D156" s="57" t="s">
        <v>33</v>
      </c>
      <c r="E156" s="58" t="n">
        <v>1054.56</v>
      </c>
      <c r="F156" s="57" t="n">
        <v>11</v>
      </c>
      <c r="G156" s="59" t="n">
        <v>0.1</v>
      </c>
      <c r="H156" s="60" t="n">
        <v>45669</v>
      </c>
      <c r="I156" s="58" t="n">
        <v>332.19</v>
      </c>
      <c r="J156" s="61" t="n">
        <f aca="true">NOW()</f>
        <v>46139.4171948725</v>
      </c>
    </row>
    <row r="157" customFormat="false" ht="15.75" hidden="false" customHeight="true" outlineLevel="0" collapsed="false">
      <c r="A157" s="25" t="s">
        <v>120</v>
      </c>
      <c r="B157" s="25" t="s">
        <v>89</v>
      </c>
      <c r="C157" s="25" t="s">
        <v>32</v>
      </c>
      <c r="D157" s="25" t="s">
        <v>31</v>
      </c>
      <c r="E157" s="62" t="n">
        <v>1681.21</v>
      </c>
      <c r="F157" s="25" t="n">
        <v>5</v>
      </c>
      <c r="G157" s="63" t="n">
        <v>0.2</v>
      </c>
      <c r="H157" s="64" t="n">
        <v>45670</v>
      </c>
      <c r="I157" s="62" t="n">
        <v>336.24</v>
      </c>
      <c r="J157" s="61" t="n">
        <f aca="true">NOW()</f>
        <v>46139.4171948702</v>
      </c>
    </row>
    <row r="158" customFormat="false" ht="15.75" hidden="false" customHeight="true" outlineLevel="0" collapsed="false">
      <c r="A158" s="57" t="s">
        <v>120</v>
      </c>
      <c r="B158" s="57" t="s">
        <v>99</v>
      </c>
      <c r="C158" s="57" t="s">
        <v>14</v>
      </c>
      <c r="D158" s="57" t="s">
        <v>29</v>
      </c>
      <c r="E158" s="58" t="n">
        <v>379.77</v>
      </c>
      <c r="F158" s="57" t="n">
        <v>9</v>
      </c>
      <c r="G158" s="59" t="n">
        <v>0.05</v>
      </c>
      <c r="H158" s="60" t="n">
        <v>45673</v>
      </c>
      <c r="I158" s="58" t="n">
        <v>180.39</v>
      </c>
      <c r="J158" s="61" t="n">
        <f aca="true">NOW()</f>
        <v>46139.4171948725</v>
      </c>
    </row>
    <row r="159" customFormat="false" ht="15.75" hidden="false" customHeight="true" outlineLevel="0" collapsed="false">
      <c r="A159" s="25" t="s">
        <v>106</v>
      </c>
      <c r="B159" s="25" t="s">
        <v>107</v>
      </c>
      <c r="C159" s="25" t="s">
        <v>28</v>
      </c>
      <c r="D159" s="25" t="s">
        <v>29</v>
      </c>
      <c r="E159" s="62" t="n">
        <v>1076.33</v>
      </c>
      <c r="F159" s="25" t="n">
        <v>2</v>
      </c>
      <c r="G159" s="63" t="n">
        <v>0.1</v>
      </c>
      <c r="H159" s="64" t="n">
        <v>45674</v>
      </c>
      <c r="I159" s="62" t="n">
        <v>484.35</v>
      </c>
      <c r="J159" s="61" t="n">
        <f aca="true">NOW()</f>
        <v>46139.4171948702</v>
      </c>
    </row>
    <row r="160" customFormat="false" ht="15.75" hidden="false" customHeight="true" outlineLevel="0" collapsed="false">
      <c r="A160" s="57" t="s">
        <v>106</v>
      </c>
      <c r="B160" s="57" t="s">
        <v>95</v>
      </c>
      <c r="C160" s="57" t="s">
        <v>28</v>
      </c>
      <c r="D160" s="57" t="s">
        <v>35</v>
      </c>
      <c r="E160" s="58" t="n">
        <v>1250.71</v>
      </c>
      <c r="F160" s="57" t="n">
        <v>7</v>
      </c>
      <c r="G160" s="59" t="n">
        <v>0</v>
      </c>
      <c r="H160" s="60" t="n">
        <v>45674</v>
      </c>
      <c r="I160" s="58" t="n">
        <v>562.82</v>
      </c>
      <c r="J160" s="61" t="n">
        <f aca="true">NOW()</f>
        <v>46139.4171948725</v>
      </c>
    </row>
    <row r="161" customFormat="false" ht="15.75" hidden="false" customHeight="true" outlineLevel="0" collapsed="false">
      <c r="A161" s="25" t="s">
        <v>102</v>
      </c>
      <c r="B161" s="25" t="s">
        <v>86</v>
      </c>
      <c r="C161" s="25" t="s">
        <v>30</v>
      </c>
      <c r="D161" s="25" t="s">
        <v>29</v>
      </c>
      <c r="E161" s="62" t="n">
        <v>1118.34</v>
      </c>
      <c r="F161" s="25" t="n">
        <v>6</v>
      </c>
      <c r="G161" s="63" t="n">
        <v>0.2</v>
      </c>
      <c r="H161" s="64" t="n">
        <v>45674</v>
      </c>
      <c r="I161" s="62" t="n">
        <v>447.34</v>
      </c>
      <c r="J161" s="61" t="n">
        <f aca="true">NOW()</f>
        <v>46139.4171948702</v>
      </c>
    </row>
    <row r="162" customFormat="false" ht="15.75" hidden="false" customHeight="true" outlineLevel="0" collapsed="false">
      <c r="A162" s="57" t="s">
        <v>132</v>
      </c>
      <c r="B162" s="57" t="s">
        <v>115</v>
      </c>
      <c r="C162" s="57" t="s">
        <v>32</v>
      </c>
      <c r="D162" s="57" t="s">
        <v>29</v>
      </c>
      <c r="E162" s="58" t="n">
        <v>1622.62</v>
      </c>
      <c r="F162" s="57" t="n">
        <v>12</v>
      </c>
      <c r="G162" s="59" t="n">
        <v>0.2</v>
      </c>
      <c r="H162" s="60" t="n">
        <v>45677</v>
      </c>
      <c r="I162" s="58" t="n">
        <v>649.05</v>
      </c>
      <c r="J162" s="61" t="n">
        <f aca="true">NOW()</f>
        <v>46139.4171948725</v>
      </c>
    </row>
    <row r="163" customFormat="false" ht="15.75" hidden="false" customHeight="true" outlineLevel="0" collapsed="false">
      <c r="A163" s="25" t="s">
        <v>137</v>
      </c>
      <c r="B163" s="25" t="s">
        <v>110</v>
      </c>
      <c r="C163" s="25" t="s">
        <v>32</v>
      </c>
      <c r="D163" s="25" t="s">
        <v>15</v>
      </c>
      <c r="E163" s="62" t="n">
        <v>640.64</v>
      </c>
      <c r="F163" s="25" t="n">
        <v>11</v>
      </c>
      <c r="G163" s="63" t="n">
        <v>0.2</v>
      </c>
      <c r="H163" s="64" t="n">
        <v>45678</v>
      </c>
      <c r="I163" s="62" t="n">
        <v>205</v>
      </c>
      <c r="J163" s="61" t="n">
        <f aca="true">NOW()</f>
        <v>46139.4171948702</v>
      </c>
    </row>
    <row r="164" customFormat="false" ht="15.75" hidden="false" customHeight="true" outlineLevel="0" collapsed="false">
      <c r="A164" s="57" t="s">
        <v>88</v>
      </c>
      <c r="B164" s="57" t="s">
        <v>105</v>
      </c>
      <c r="C164" s="57" t="s">
        <v>14</v>
      </c>
      <c r="D164" s="57" t="s">
        <v>29</v>
      </c>
      <c r="E164" s="58" t="n">
        <v>585.16</v>
      </c>
      <c r="F164" s="57" t="n">
        <v>17</v>
      </c>
      <c r="G164" s="59" t="n">
        <v>0.1</v>
      </c>
      <c r="H164" s="60" t="n">
        <v>45684</v>
      </c>
      <c r="I164" s="58" t="n">
        <v>263.32</v>
      </c>
      <c r="J164" s="61" t="n">
        <f aca="true">NOW()</f>
        <v>46139.4171948725</v>
      </c>
    </row>
    <row r="165" customFormat="false" ht="15.75" hidden="false" customHeight="true" outlineLevel="0" collapsed="false">
      <c r="A165" s="25" t="s">
        <v>88</v>
      </c>
      <c r="B165" s="25" t="s">
        <v>95</v>
      </c>
      <c r="C165" s="25" t="s">
        <v>34</v>
      </c>
      <c r="D165" s="25" t="s">
        <v>29</v>
      </c>
      <c r="E165" s="62" t="n">
        <v>1109.98</v>
      </c>
      <c r="F165" s="25" t="n">
        <v>5</v>
      </c>
      <c r="G165" s="63" t="n">
        <v>0.2</v>
      </c>
      <c r="H165" s="64" t="n">
        <v>45690</v>
      </c>
      <c r="I165" s="62" t="n">
        <v>443.99</v>
      </c>
      <c r="J165" s="61" t="n">
        <f aca="true">NOW()</f>
        <v>46139.4171948702</v>
      </c>
    </row>
    <row r="166" customFormat="false" ht="15.75" hidden="false" customHeight="true" outlineLevel="0" collapsed="false">
      <c r="A166" s="57" t="s">
        <v>120</v>
      </c>
      <c r="B166" s="57" t="s">
        <v>107</v>
      </c>
      <c r="C166" s="57" t="s">
        <v>34</v>
      </c>
      <c r="D166" s="57" t="s">
        <v>15</v>
      </c>
      <c r="E166" s="58" t="n">
        <v>1098.08</v>
      </c>
      <c r="F166" s="57" t="n">
        <v>9</v>
      </c>
      <c r="G166" s="59" t="n">
        <v>0.1</v>
      </c>
      <c r="H166" s="60" t="n">
        <v>45692</v>
      </c>
      <c r="I166" s="58" t="n">
        <v>395.31</v>
      </c>
      <c r="J166" s="61" t="n">
        <f aca="true">NOW()</f>
        <v>46139.4171948725</v>
      </c>
    </row>
    <row r="167" customFormat="false" ht="15.75" hidden="false" customHeight="true" outlineLevel="0" collapsed="false">
      <c r="A167" s="25" t="s">
        <v>127</v>
      </c>
      <c r="B167" s="25" t="s">
        <v>110</v>
      </c>
      <c r="C167" s="25" t="s">
        <v>14</v>
      </c>
      <c r="D167" s="25" t="s">
        <v>35</v>
      </c>
      <c r="E167" s="62" t="n">
        <v>827.25</v>
      </c>
      <c r="F167" s="25" t="n">
        <v>7</v>
      </c>
      <c r="G167" s="63" t="n">
        <v>0.1</v>
      </c>
      <c r="H167" s="64" t="n">
        <v>45693</v>
      </c>
      <c r="I167" s="62" t="n">
        <v>335.04</v>
      </c>
      <c r="J167" s="61" t="n">
        <f aca="true">NOW()</f>
        <v>46139.4171948702</v>
      </c>
    </row>
    <row r="168" customFormat="false" ht="15.75" hidden="false" customHeight="true" outlineLevel="0" collapsed="false">
      <c r="A168" s="57" t="s">
        <v>132</v>
      </c>
      <c r="B168" s="57" t="s">
        <v>93</v>
      </c>
      <c r="C168" s="57" t="s">
        <v>28</v>
      </c>
      <c r="D168" s="57" t="s">
        <v>29</v>
      </c>
      <c r="E168" s="58" t="n">
        <v>741.88</v>
      </c>
      <c r="F168" s="57" t="n">
        <v>16</v>
      </c>
      <c r="G168" s="59" t="n">
        <v>0.1</v>
      </c>
      <c r="H168" s="60" t="n">
        <v>45695</v>
      </c>
      <c r="I168" s="58" t="n">
        <v>333.85</v>
      </c>
      <c r="J168" s="61" t="n">
        <f aca="true">NOW()</f>
        <v>46139.4171948725</v>
      </c>
    </row>
    <row r="169" customFormat="false" ht="15.75" hidden="false" customHeight="true" outlineLevel="0" collapsed="false">
      <c r="A169" s="25" t="s">
        <v>134</v>
      </c>
      <c r="B169" s="25" t="s">
        <v>82</v>
      </c>
      <c r="C169" s="25" t="s">
        <v>34</v>
      </c>
      <c r="D169" s="25" t="s">
        <v>35</v>
      </c>
      <c r="E169" s="62" t="n">
        <v>1311.26</v>
      </c>
      <c r="F169" s="25" t="n">
        <v>6</v>
      </c>
      <c r="G169" s="63" t="n">
        <v>0.1</v>
      </c>
      <c r="H169" s="64" t="n">
        <v>45698</v>
      </c>
      <c r="I169" s="62" t="n">
        <v>531.06</v>
      </c>
      <c r="J169" s="61" t="n">
        <f aca="true">NOW()</f>
        <v>46139.4171948702</v>
      </c>
    </row>
    <row r="170" customFormat="false" ht="15.75" hidden="false" customHeight="true" outlineLevel="0" collapsed="false">
      <c r="A170" s="57" t="s">
        <v>134</v>
      </c>
      <c r="B170" s="57" t="s">
        <v>95</v>
      </c>
      <c r="C170" s="57" t="s">
        <v>30</v>
      </c>
      <c r="D170" s="57" t="s">
        <v>35</v>
      </c>
      <c r="E170" s="58" t="n">
        <v>573.32</v>
      </c>
      <c r="F170" s="57" t="n">
        <v>19</v>
      </c>
      <c r="G170" s="59" t="n">
        <v>0.1</v>
      </c>
      <c r="H170" s="60" t="n">
        <v>45703</v>
      </c>
      <c r="I170" s="58" t="n">
        <v>232.19</v>
      </c>
      <c r="J170" s="61" t="n">
        <f aca="true">NOW()</f>
        <v>46139.4171948725</v>
      </c>
    </row>
    <row r="171" customFormat="false" ht="15.75" hidden="false" customHeight="true" outlineLevel="0" collapsed="false">
      <c r="A171" s="25" t="s">
        <v>114</v>
      </c>
      <c r="B171" s="25" t="s">
        <v>89</v>
      </c>
      <c r="C171" s="25" t="s">
        <v>14</v>
      </c>
      <c r="D171" s="25" t="s">
        <v>31</v>
      </c>
      <c r="E171" s="62" t="n">
        <v>1115.22</v>
      </c>
      <c r="F171" s="25" t="n">
        <v>14</v>
      </c>
      <c r="G171" s="63" t="n">
        <v>0.2</v>
      </c>
      <c r="H171" s="64" t="n">
        <v>45705</v>
      </c>
      <c r="I171" s="62" t="n">
        <v>223.04</v>
      </c>
      <c r="J171" s="61" t="n">
        <f aca="true">NOW()</f>
        <v>46139.4171948702</v>
      </c>
    </row>
    <row r="172" customFormat="false" ht="15.75" hidden="false" customHeight="true" outlineLevel="0" collapsed="false">
      <c r="A172" s="57" t="s">
        <v>83</v>
      </c>
      <c r="B172" s="57" t="s">
        <v>107</v>
      </c>
      <c r="C172" s="57" t="s">
        <v>32</v>
      </c>
      <c r="D172" s="57" t="s">
        <v>29</v>
      </c>
      <c r="E172" s="58" t="n">
        <v>845.84</v>
      </c>
      <c r="F172" s="57" t="n">
        <v>4</v>
      </c>
      <c r="G172" s="59" t="n">
        <v>0</v>
      </c>
      <c r="H172" s="60" t="n">
        <v>45707</v>
      </c>
      <c r="I172" s="58" t="n">
        <v>422.92</v>
      </c>
      <c r="J172" s="61" t="n">
        <f aca="true">NOW()</f>
        <v>46139.4171948725</v>
      </c>
    </row>
    <row r="173" customFormat="false" ht="15.75" hidden="false" customHeight="true" outlineLevel="0" collapsed="false">
      <c r="A173" s="25" t="s">
        <v>94</v>
      </c>
      <c r="B173" s="25" t="s">
        <v>117</v>
      </c>
      <c r="C173" s="25" t="s">
        <v>14</v>
      </c>
      <c r="D173" s="25" t="s">
        <v>31</v>
      </c>
      <c r="E173" s="62" t="n">
        <v>1029.8</v>
      </c>
      <c r="F173" s="25" t="n">
        <v>3</v>
      </c>
      <c r="G173" s="63" t="n">
        <v>0</v>
      </c>
      <c r="H173" s="64" t="n">
        <v>45708</v>
      </c>
      <c r="I173" s="62" t="n">
        <v>257.45</v>
      </c>
      <c r="J173" s="61" t="n">
        <f aca="true">NOW()</f>
        <v>46139.4171948702</v>
      </c>
    </row>
    <row r="174" customFormat="false" ht="15.75" hidden="false" customHeight="true" outlineLevel="0" collapsed="false">
      <c r="A174" s="57" t="s">
        <v>96</v>
      </c>
      <c r="B174" s="57" t="s">
        <v>95</v>
      </c>
      <c r="C174" s="57" t="s">
        <v>32</v>
      </c>
      <c r="D174" s="57" t="s">
        <v>15</v>
      </c>
      <c r="E174" s="58" t="n">
        <v>1189.83</v>
      </c>
      <c r="F174" s="57" t="n">
        <v>2</v>
      </c>
      <c r="G174" s="59" t="n">
        <v>0.2</v>
      </c>
      <c r="H174" s="60" t="n">
        <v>45709</v>
      </c>
      <c r="I174" s="58" t="n">
        <v>380.75</v>
      </c>
      <c r="J174" s="61" t="n">
        <f aca="true">NOW()</f>
        <v>46139.4171948725</v>
      </c>
    </row>
    <row r="175" customFormat="false" ht="15.75" hidden="false" customHeight="true" outlineLevel="0" collapsed="false">
      <c r="A175" s="25" t="s">
        <v>129</v>
      </c>
      <c r="B175" s="25" t="s">
        <v>105</v>
      </c>
      <c r="C175" s="25" t="s">
        <v>30</v>
      </c>
      <c r="D175" s="25" t="s">
        <v>15</v>
      </c>
      <c r="E175" s="62" t="n">
        <v>704.28</v>
      </c>
      <c r="F175" s="25" t="n">
        <v>15</v>
      </c>
      <c r="G175" s="63" t="n">
        <v>0.2</v>
      </c>
      <c r="H175" s="64" t="n">
        <v>45712</v>
      </c>
      <c r="I175" s="62" t="n">
        <v>225.37</v>
      </c>
      <c r="J175" s="61" t="n">
        <f aca="true">NOW()</f>
        <v>46139.4171948702</v>
      </c>
    </row>
    <row r="176" customFormat="false" ht="15.75" hidden="false" customHeight="true" outlineLevel="0" collapsed="false">
      <c r="A176" s="57" t="s">
        <v>127</v>
      </c>
      <c r="B176" s="57" t="s">
        <v>109</v>
      </c>
      <c r="C176" s="57" t="s">
        <v>28</v>
      </c>
      <c r="D176" s="57" t="s">
        <v>35</v>
      </c>
      <c r="E176" s="58" t="n">
        <v>1618.22</v>
      </c>
      <c r="F176" s="57" t="n">
        <v>12</v>
      </c>
      <c r="G176" s="59" t="n">
        <v>0.2</v>
      </c>
      <c r="H176" s="60" t="n">
        <v>45712</v>
      </c>
      <c r="I176" s="58" t="n">
        <v>582.56</v>
      </c>
      <c r="J176" s="61" t="n">
        <f aca="true">NOW()</f>
        <v>46139.4171948725</v>
      </c>
    </row>
    <row r="177" customFormat="false" ht="15.75" hidden="false" customHeight="true" outlineLevel="0" collapsed="false">
      <c r="A177" s="25" t="s">
        <v>135</v>
      </c>
      <c r="B177" s="25" t="s">
        <v>115</v>
      </c>
      <c r="C177" s="25" t="s">
        <v>28</v>
      </c>
      <c r="D177" s="25" t="s">
        <v>15</v>
      </c>
      <c r="E177" s="62" t="n">
        <v>1014.43</v>
      </c>
      <c r="F177" s="25" t="n">
        <v>2</v>
      </c>
      <c r="G177" s="63" t="n">
        <v>0.15</v>
      </c>
      <c r="H177" s="64" t="n">
        <v>45713</v>
      </c>
      <c r="I177" s="62" t="n">
        <v>344.91</v>
      </c>
      <c r="J177" s="61" t="n">
        <f aca="true">NOW()</f>
        <v>46139.4171948702</v>
      </c>
    </row>
    <row r="178" customFormat="false" ht="15.75" hidden="false" customHeight="true" outlineLevel="0" collapsed="false">
      <c r="A178" s="57" t="s">
        <v>137</v>
      </c>
      <c r="B178" s="57" t="s">
        <v>95</v>
      </c>
      <c r="C178" s="57" t="s">
        <v>28</v>
      </c>
      <c r="D178" s="57" t="s">
        <v>29</v>
      </c>
      <c r="E178" s="58" t="n">
        <v>826.97</v>
      </c>
      <c r="F178" s="57" t="n">
        <v>18</v>
      </c>
      <c r="G178" s="59" t="n">
        <v>0.2</v>
      </c>
      <c r="H178" s="60" t="n">
        <v>45715</v>
      </c>
      <c r="I178" s="58" t="n">
        <v>330.79</v>
      </c>
      <c r="J178" s="61" t="n">
        <f aca="true">NOW()</f>
        <v>46139.4171948725</v>
      </c>
    </row>
    <row r="179" customFormat="false" ht="15.75" hidden="false" customHeight="true" outlineLevel="0" collapsed="false">
      <c r="A179" s="25" t="s">
        <v>85</v>
      </c>
      <c r="B179" s="25" t="s">
        <v>95</v>
      </c>
      <c r="C179" s="25" t="s">
        <v>28</v>
      </c>
      <c r="D179" s="25" t="s">
        <v>29</v>
      </c>
      <c r="E179" s="62" t="n">
        <v>1022.23</v>
      </c>
      <c r="F179" s="25" t="n">
        <v>8</v>
      </c>
      <c r="G179" s="63" t="n">
        <v>0.1</v>
      </c>
      <c r="H179" s="64" t="n">
        <v>45717</v>
      </c>
      <c r="I179" s="62" t="n">
        <v>460</v>
      </c>
      <c r="J179" s="61" t="n">
        <f aca="true">NOW()</f>
        <v>46139.4171948702</v>
      </c>
    </row>
    <row r="180" customFormat="false" ht="15.75" hidden="false" customHeight="true" outlineLevel="0" collapsed="false">
      <c r="A180" s="57" t="s">
        <v>134</v>
      </c>
      <c r="B180" s="57" t="s">
        <v>93</v>
      </c>
      <c r="C180" s="57" t="s">
        <v>34</v>
      </c>
      <c r="D180" s="57" t="s">
        <v>15</v>
      </c>
      <c r="E180" s="58" t="n">
        <v>1099.69</v>
      </c>
      <c r="F180" s="57" t="n">
        <v>6</v>
      </c>
      <c r="G180" s="59" t="n">
        <v>0</v>
      </c>
      <c r="H180" s="60" t="n">
        <v>45718</v>
      </c>
      <c r="I180" s="58" t="n">
        <v>439.88</v>
      </c>
      <c r="J180" s="61" t="n">
        <f aca="true">NOW()</f>
        <v>46139.4171948725</v>
      </c>
    </row>
    <row r="181" customFormat="false" ht="15.75" hidden="false" customHeight="true" outlineLevel="0" collapsed="false">
      <c r="A181" s="25" t="s">
        <v>114</v>
      </c>
      <c r="B181" s="25" t="s">
        <v>126</v>
      </c>
      <c r="C181" s="25" t="s">
        <v>32</v>
      </c>
      <c r="D181" s="25" t="s">
        <v>15</v>
      </c>
      <c r="E181" s="62" t="n">
        <v>710.52</v>
      </c>
      <c r="F181" s="25" t="n">
        <v>8</v>
      </c>
      <c r="G181" s="63" t="n">
        <v>0.1</v>
      </c>
      <c r="H181" s="64" t="n">
        <v>45721</v>
      </c>
      <c r="I181" s="62" t="n">
        <v>255.79</v>
      </c>
      <c r="J181" s="61" t="n">
        <f aca="true">NOW()</f>
        <v>46139.4171948702</v>
      </c>
    </row>
    <row r="182" customFormat="false" ht="15.75" hidden="false" customHeight="true" outlineLevel="0" collapsed="false">
      <c r="A182" s="57" t="s">
        <v>114</v>
      </c>
      <c r="B182" s="57" t="s">
        <v>121</v>
      </c>
      <c r="C182" s="57" t="s">
        <v>32</v>
      </c>
      <c r="D182" s="57" t="s">
        <v>15</v>
      </c>
      <c r="E182" s="58" t="n">
        <v>499.18</v>
      </c>
      <c r="F182" s="57" t="n">
        <v>15</v>
      </c>
      <c r="G182" s="59" t="n">
        <v>0.2</v>
      </c>
      <c r="H182" s="60" t="n">
        <v>45724</v>
      </c>
      <c r="I182" s="58" t="n">
        <v>159.74</v>
      </c>
      <c r="J182" s="61" t="n">
        <f aca="true">NOW()</f>
        <v>46139.4171948725</v>
      </c>
    </row>
    <row r="183" customFormat="false" ht="15.75" hidden="false" customHeight="true" outlineLevel="0" collapsed="false">
      <c r="A183" s="25" t="s">
        <v>100</v>
      </c>
      <c r="B183" s="25" t="s">
        <v>101</v>
      </c>
      <c r="C183" s="25" t="s">
        <v>30</v>
      </c>
      <c r="D183" s="25" t="s">
        <v>15</v>
      </c>
      <c r="E183" s="62" t="n">
        <v>1064.19</v>
      </c>
      <c r="F183" s="25" t="n">
        <v>18</v>
      </c>
      <c r="G183" s="63" t="n">
        <v>0.05</v>
      </c>
      <c r="H183" s="64" t="n">
        <v>45725</v>
      </c>
      <c r="I183" s="62" t="n">
        <v>404.39</v>
      </c>
      <c r="J183" s="61" t="n">
        <f aca="true">NOW()</f>
        <v>46139.4171948702</v>
      </c>
    </row>
    <row r="184" customFormat="false" ht="15.75" hidden="false" customHeight="true" outlineLevel="0" collapsed="false">
      <c r="A184" s="57" t="s">
        <v>129</v>
      </c>
      <c r="B184" s="57" t="s">
        <v>101</v>
      </c>
      <c r="C184" s="57" t="s">
        <v>34</v>
      </c>
      <c r="D184" s="57" t="s">
        <v>35</v>
      </c>
      <c r="E184" s="58" t="n">
        <v>438.76</v>
      </c>
      <c r="F184" s="57" t="n">
        <v>18</v>
      </c>
      <c r="G184" s="59" t="n">
        <v>0.05</v>
      </c>
      <c r="H184" s="60" t="n">
        <v>45726</v>
      </c>
      <c r="I184" s="58" t="n">
        <v>187.57</v>
      </c>
      <c r="J184" s="61" t="n">
        <f aca="true">NOW()</f>
        <v>46139.4171948726</v>
      </c>
    </row>
    <row r="185" customFormat="false" ht="15.75" hidden="false" customHeight="true" outlineLevel="0" collapsed="false">
      <c r="A185" s="25" t="s">
        <v>103</v>
      </c>
      <c r="B185" s="25" t="s">
        <v>117</v>
      </c>
      <c r="C185" s="25" t="s">
        <v>14</v>
      </c>
      <c r="D185" s="25" t="s">
        <v>29</v>
      </c>
      <c r="E185" s="62" t="n">
        <v>864.98</v>
      </c>
      <c r="F185" s="25" t="n">
        <v>2</v>
      </c>
      <c r="G185" s="63" t="n">
        <v>0.05</v>
      </c>
      <c r="H185" s="64" t="n">
        <v>45727</v>
      </c>
      <c r="I185" s="62" t="n">
        <v>410.87</v>
      </c>
      <c r="J185" s="61" t="n">
        <f aca="true">NOW()</f>
        <v>46139.4171948702</v>
      </c>
    </row>
    <row r="186" customFormat="false" ht="15.75" hidden="false" customHeight="true" outlineLevel="0" collapsed="false">
      <c r="A186" s="57" t="s">
        <v>119</v>
      </c>
      <c r="B186" s="57" t="s">
        <v>117</v>
      </c>
      <c r="C186" s="57" t="s">
        <v>14</v>
      </c>
      <c r="D186" s="57" t="s">
        <v>33</v>
      </c>
      <c r="E186" s="58" t="n">
        <v>984.93</v>
      </c>
      <c r="F186" s="57" t="n">
        <v>14</v>
      </c>
      <c r="G186" s="59" t="n">
        <v>0.2</v>
      </c>
      <c r="H186" s="60" t="n">
        <v>45733</v>
      </c>
      <c r="I186" s="58" t="n">
        <v>275.78</v>
      </c>
      <c r="J186" s="61" t="n">
        <f aca="true">NOW()</f>
        <v>46139.4171948726</v>
      </c>
    </row>
    <row r="187" customFormat="false" ht="15.75" hidden="false" customHeight="true" outlineLevel="0" collapsed="false">
      <c r="A187" s="25" t="s">
        <v>90</v>
      </c>
      <c r="B187" s="25" t="s">
        <v>117</v>
      </c>
      <c r="C187" s="25" t="s">
        <v>14</v>
      </c>
      <c r="D187" s="25" t="s">
        <v>29</v>
      </c>
      <c r="E187" s="62" t="n">
        <v>1493.49</v>
      </c>
      <c r="F187" s="25" t="n">
        <v>18</v>
      </c>
      <c r="G187" s="63" t="n">
        <v>0</v>
      </c>
      <c r="H187" s="64" t="n">
        <v>45734</v>
      </c>
      <c r="I187" s="62" t="n">
        <v>746.74</v>
      </c>
      <c r="J187" s="61" t="n">
        <f aca="true">NOW()</f>
        <v>46139.4171948702</v>
      </c>
    </row>
    <row r="188" customFormat="false" ht="15.75" hidden="false" customHeight="true" outlineLevel="0" collapsed="false">
      <c r="A188" s="57" t="s">
        <v>96</v>
      </c>
      <c r="B188" s="57" t="s">
        <v>115</v>
      </c>
      <c r="C188" s="57" t="s">
        <v>30</v>
      </c>
      <c r="D188" s="57" t="s">
        <v>29</v>
      </c>
      <c r="E188" s="58" t="n">
        <v>689.43</v>
      </c>
      <c r="F188" s="57" t="n">
        <v>9</v>
      </c>
      <c r="G188" s="59" t="n">
        <v>0.1</v>
      </c>
      <c r="H188" s="60" t="n">
        <v>45736</v>
      </c>
      <c r="I188" s="58" t="n">
        <v>310.24</v>
      </c>
      <c r="J188" s="61" t="n">
        <f aca="true">NOW()</f>
        <v>46139.4171948726</v>
      </c>
    </row>
    <row r="189" customFormat="false" ht="15.75" hidden="false" customHeight="true" outlineLevel="0" collapsed="false">
      <c r="A189" s="25" t="s">
        <v>102</v>
      </c>
      <c r="B189" s="25" t="s">
        <v>121</v>
      </c>
      <c r="C189" s="25" t="s">
        <v>30</v>
      </c>
      <c r="D189" s="25" t="s">
        <v>29</v>
      </c>
      <c r="E189" s="62" t="n">
        <v>682.24</v>
      </c>
      <c r="F189" s="25" t="n">
        <v>1</v>
      </c>
      <c r="G189" s="63" t="n">
        <v>0</v>
      </c>
      <c r="H189" s="64" t="n">
        <v>45738</v>
      </c>
      <c r="I189" s="62" t="n">
        <v>341.12</v>
      </c>
      <c r="J189" s="61" t="n">
        <f aca="true">NOW()</f>
        <v>46139.4171948703</v>
      </c>
    </row>
    <row r="190" customFormat="false" ht="15.75" hidden="false" customHeight="true" outlineLevel="0" collapsed="false">
      <c r="A190" s="57" t="s">
        <v>103</v>
      </c>
      <c r="B190" s="57" t="s">
        <v>91</v>
      </c>
      <c r="C190" s="57" t="s">
        <v>32</v>
      </c>
      <c r="D190" s="57" t="s">
        <v>31</v>
      </c>
      <c r="E190" s="58" t="n">
        <v>458.54</v>
      </c>
      <c r="F190" s="57" t="n">
        <v>15</v>
      </c>
      <c r="G190" s="59" t="n">
        <v>0.2</v>
      </c>
      <c r="H190" s="60" t="n">
        <v>45741</v>
      </c>
      <c r="I190" s="58" t="n">
        <v>91.71</v>
      </c>
      <c r="J190" s="61" t="n">
        <f aca="true">NOW()</f>
        <v>46139.4171948726</v>
      </c>
    </row>
    <row r="191" customFormat="false" ht="15.75" hidden="false" customHeight="true" outlineLevel="0" collapsed="false">
      <c r="A191" s="25" t="s">
        <v>96</v>
      </c>
      <c r="B191" s="25" t="s">
        <v>91</v>
      </c>
      <c r="C191" s="25" t="s">
        <v>30</v>
      </c>
      <c r="D191" s="25" t="s">
        <v>33</v>
      </c>
      <c r="E191" s="62" t="n">
        <v>1184.25</v>
      </c>
      <c r="F191" s="25" t="n">
        <v>11</v>
      </c>
      <c r="G191" s="63" t="n">
        <v>0.2</v>
      </c>
      <c r="H191" s="64" t="n">
        <v>45742</v>
      </c>
      <c r="I191" s="62" t="n">
        <v>331.59</v>
      </c>
      <c r="J191" s="61" t="n">
        <f aca="true">NOW()</f>
        <v>46139.4171948703</v>
      </c>
    </row>
    <row r="192" customFormat="false" ht="15.75" hidden="false" customHeight="true" outlineLevel="0" collapsed="false">
      <c r="A192" s="57" t="s">
        <v>90</v>
      </c>
      <c r="B192" s="57" t="s">
        <v>82</v>
      </c>
      <c r="C192" s="57" t="s">
        <v>30</v>
      </c>
      <c r="D192" s="57" t="s">
        <v>29</v>
      </c>
      <c r="E192" s="58" t="n">
        <v>762.14</v>
      </c>
      <c r="F192" s="57" t="n">
        <v>9</v>
      </c>
      <c r="G192" s="59" t="n">
        <v>0</v>
      </c>
      <c r="H192" s="60" t="n">
        <v>45743</v>
      </c>
      <c r="I192" s="58" t="n">
        <v>381.07</v>
      </c>
      <c r="J192" s="61" t="n">
        <f aca="true">NOW()</f>
        <v>46139.4171948726</v>
      </c>
    </row>
    <row r="193" customFormat="false" ht="15.75" hidden="false" customHeight="true" outlineLevel="0" collapsed="false">
      <c r="A193" s="25" t="s">
        <v>88</v>
      </c>
      <c r="B193" s="25" t="s">
        <v>115</v>
      </c>
      <c r="C193" s="25" t="s">
        <v>32</v>
      </c>
      <c r="D193" s="25" t="s">
        <v>15</v>
      </c>
      <c r="E193" s="62" t="n">
        <v>750.71</v>
      </c>
      <c r="F193" s="25" t="n">
        <v>10</v>
      </c>
      <c r="G193" s="63" t="n">
        <v>0.15</v>
      </c>
      <c r="H193" s="64" t="n">
        <v>45743</v>
      </c>
      <c r="I193" s="62" t="n">
        <v>255.24</v>
      </c>
      <c r="J193" s="61" t="n">
        <f aca="true">NOW()</f>
        <v>46139.4171948703</v>
      </c>
    </row>
    <row r="194" customFormat="false" ht="15.75" hidden="false" customHeight="true" outlineLevel="0" collapsed="false">
      <c r="A194" s="57" t="s">
        <v>137</v>
      </c>
      <c r="B194" s="57" t="s">
        <v>133</v>
      </c>
      <c r="C194" s="57" t="s">
        <v>28</v>
      </c>
      <c r="D194" s="57" t="s">
        <v>29</v>
      </c>
      <c r="E194" s="58" t="n">
        <v>1456.94</v>
      </c>
      <c r="F194" s="57" t="n">
        <v>14</v>
      </c>
      <c r="G194" s="59" t="n">
        <v>0.05</v>
      </c>
      <c r="H194" s="60" t="n">
        <v>45745</v>
      </c>
      <c r="I194" s="58" t="n">
        <v>692.05</v>
      </c>
      <c r="J194" s="61" t="n">
        <f aca="true">NOW()</f>
        <v>46139.4171948726</v>
      </c>
    </row>
    <row r="195" customFormat="false" ht="15.75" hidden="false" customHeight="true" outlineLevel="0" collapsed="false">
      <c r="A195" s="25" t="s">
        <v>106</v>
      </c>
      <c r="B195" s="25" t="s">
        <v>123</v>
      </c>
      <c r="C195" s="25" t="s">
        <v>34</v>
      </c>
      <c r="D195" s="25" t="s">
        <v>33</v>
      </c>
      <c r="E195" s="62" t="n">
        <v>1093.38</v>
      </c>
      <c r="F195" s="25" t="n">
        <v>17</v>
      </c>
      <c r="G195" s="63" t="n">
        <v>0.1</v>
      </c>
      <c r="H195" s="64" t="n">
        <v>45745</v>
      </c>
      <c r="I195" s="62" t="n">
        <v>344.41</v>
      </c>
      <c r="J195" s="61" t="n">
        <f aca="true">NOW()</f>
        <v>46139.4171948703</v>
      </c>
    </row>
    <row r="196" customFormat="false" ht="15.75" hidden="false" customHeight="true" outlineLevel="0" collapsed="false">
      <c r="A196" s="57" t="s">
        <v>100</v>
      </c>
      <c r="B196" s="57" t="s">
        <v>105</v>
      </c>
      <c r="C196" s="57" t="s">
        <v>14</v>
      </c>
      <c r="D196" s="57" t="s">
        <v>29</v>
      </c>
      <c r="E196" s="58" t="n">
        <v>934.27</v>
      </c>
      <c r="F196" s="57" t="n">
        <v>8</v>
      </c>
      <c r="G196" s="59" t="n">
        <v>0.15</v>
      </c>
      <c r="H196" s="60" t="n">
        <v>45746</v>
      </c>
      <c r="I196" s="58" t="n">
        <v>397.06</v>
      </c>
      <c r="J196" s="61" t="n">
        <f aca="true">NOW()</f>
        <v>46139.4171948726</v>
      </c>
    </row>
    <row r="197" customFormat="false" ht="15.75" hidden="false" customHeight="true" outlineLevel="0" collapsed="false">
      <c r="A197" s="25" t="s">
        <v>132</v>
      </c>
      <c r="B197" s="25" t="s">
        <v>99</v>
      </c>
      <c r="C197" s="25" t="s">
        <v>28</v>
      </c>
      <c r="D197" s="25" t="s">
        <v>29</v>
      </c>
      <c r="E197" s="62" t="n">
        <v>1465.35</v>
      </c>
      <c r="F197" s="25" t="n">
        <v>8</v>
      </c>
      <c r="G197" s="63" t="n">
        <v>0.2</v>
      </c>
      <c r="H197" s="64" t="n">
        <v>45746</v>
      </c>
      <c r="I197" s="62" t="n">
        <v>586.14</v>
      </c>
      <c r="J197" s="61" t="n">
        <f aca="true">NOW()</f>
        <v>46139.4171948703</v>
      </c>
    </row>
    <row r="198" customFormat="false" ht="15.75" hidden="false" customHeight="true" outlineLevel="0" collapsed="false">
      <c r="A198" s="57" t="s">
        <v>114</v>
      </c>
      <c r="B198" s="57" t="s">
        <v>84</v>
      </c>
      <c r="C198" s="57" t="s">
        <v>30</v>
      </c>
      <c r="D198" s="57" t="s">
        <v>35</v>
      </c>
      <c r="E198" s="58" t="n">
        <v>740.8</v>
      </c>
      <c r="F198" s="57" t="n">
        <v>3</v>
      </c>
      <c r="G198" s="59" t="n">
        <v>0</v>
      </c>
      <c r="H198" s="60" t="n">
        <v>45749</v>
      </c>
      <c r="I198" s="58" t="n">
        <v>333.36</v>
      </c>
      <c r="J198" s="61" t="n">
        <f aca="true">NOW()</f>
        <v>46139.4171948726</v>
      </c>
    </row>
    <row r="199" customFormat="false" ht="15.75" hidden="false" customHeight="true" outlineLevel="0" collapsed="false">
      <c r="A199" s="25" t="s">
        <v>120</v>
      </c>
      <c r="B199" s="25" t="s">
        <v>105</v>
      </c>
      <c r="C199" s="25" t="s">
        <v>14</v>
      </c>
      <c r="D199" s="25" t="s">
        <v>35</v>
      </c>
      <c r="E199" s="62" t="n">
        <v>545.44</v>
      </c>
      <c r="F199" s="25" t="n">
        <v>17</v>
      </c>
      <c r="G199" s="63" t="n">
        <v>0</v>
      </c>
      <c r="H199" s="64" t="n">
        <v>45752</v>
      </c>
      <c r="I199" s="62" t="n">
        <v>245.45</v>
      </c>
      <c r="J199" s="61" t="n">
        <f aca="true">NOW()</f>
        <v>46139.4171948703</v>
      </c>
    </row>
    <row r="200" customFormat="false" ht="15.75" hidden="false" customHeight="true" outlineLevel="0" collapsed="false">
      <c r="A200" s="57" t="s">
        <v>98</v>
      </c>
      <c r="B200" s="57" t="s">
        <v>99</v>
      </c>
      <c r="C200" s="57" t="s">
        <v>34</v>
      </c>
      <c r="D200" s="57" t="s">
        <v>15</v>
      </c>
      <c r="E200" s="58" t="n">
        <v>997.61</v>
      </c>
      <c r="F200" s="57" t="n">
        <v>8</v>
      </c>
      <c r="G200" s="59" t="n">
        <v>0.05</v>
      </c>
      <c r="H200" s="60" t="n">
        <v>45752</v>
      </c>
      <c r="I200" s="58" t="n">
        <v>379.09</v>
      </c>
      <c r="J200" s="61" t="n">
        <f aca="true">NOW()</f>
        <v>46139.4171948726</v>
      </c>
    </row>
    <row r="201" customFormat="false" ht="15.75" hidden="false" customHeight="true" outlineLevel="0" collapsed="false">
      <c r="A201" s="25" t="s">
        <v>122</v>
      </c>
      <c r="B201" s="25" t="s">
        <v>99</v>
      </c>
      <c r="C201" s="25" t="s">
        <v>30</v>
      </c>
      <c r="D201" s="25" t="s">
        <v>29</v>
      </c>
      <c r="E201" s="62" t="n">
        <v>928.32</v>
      </c>
      <c r="F201" s="25" t="n">
        <v>2</v>
      </c>
      <c r="G201" s="63" t="n">
        <v>0.05</v>
      </c>
      <c r="H201" s="64" t="n">
        <v>45754</v>
      </c>
      <c r="I201" s="62" t="n">
        <v>440.95</v>
      </c>
      <c r="J201" s="61" t="n">
        <f aca="true">NOW()</f>
        <v>46139.4171948703</v>
      </c>
    </row>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E2:E201">
    <cfRule type="expression" priority="2" aboveAverage="0" equalAverage="0" bottom="0" percent="0" rank="0" text="" dxfId="0">
      <formula>E2&gt;=LARGE($E$2:$E$201,10)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700"/>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8"/>
    <col collapsed="false" customWidth="true" hidden="false" outlineLevel="0" max="4" min="4" style="0" width="16"/>
    <col collapsed="false" customWidth="true" hidden="false" outlineLevel="0" max="5" min="5" style="0" width="10"/>
    <col collapsed="false" customWidth="true" hidden="false" outlineLevel="0" max="6" min="6" style="0" width="14"/>
  </cols>
  <sheetData>
    <row r="1" customFormat="false" ht="24" hidden="false" customHeight="true" outlineLevel="0" collapsed="false">
      <c r="A1" s="65" t="s">
        <v>138</v>
      </c>
      <c r="B1" s="65"/>
      <c r="C1" s="65"/>
      <c r="D1" s="65"/>
      <c r="E1" s="65"/>
      <c r="F1" s="65"/>
    </row>
    <row r="2" customFormat="false" ht="15" hidden="false" customHeight="false" outlineLevel="0" collapsed="false">
      <c r="A2" s="54" t="s">
        <v>26</v>
      </c>
      <c r="B2" s="54" t="s">
        <v>72</v>
      </c>
      <c r="C2" s="54" t="s">
        <v>139</v>
      </c>
      <c r="D2" s="54" t="s">
        <v>140</v>
      </c>
      <c r="E2" s="54" t="s">
        <v>23</v>
      </c>
      <c r="F2" s="54" t="s">
        <v>141</v>
      </c>
    </row>
    <row r="3" customFormat="false" ht="15" hidden="false" customHeight="false" outlineLevel="0" collapsed="false">
      <c r="A3" s="66" t="n">
        <v>1</v>
      </c>
      <c r="B3" s="67" t="s">
        <v>120</v>
      </c>
      <c r="C3" s="68" t="n">
        <v>11611.06</v>
      </c>
      <c r="D3" s="68" t="n">
        <v>4201.59</v>
      </c>
      <c r="E3" s="67" t="n">
        <v>11</v>
      </c>
      <c r="F3" s="67" t="s">
        <v>142</v>
      </c>
    </row>
    <row r="4" customFormat="false" ht="15" hidden="false" customHeight="false" outlineLevel="0" collapsed="false">
      <c r="A4" s="66" t="n">
        <v>2</v>
      </c>
      <c r="B4" s="67" t="s">
        <v>114</v>
      </c>
      <c r="C4" s="68" t="n">
        <v>10293.87</v>
      </c>
      <c r="D4" s="68" t="n">
        <v>3541.02</v>
      </c>
      <c r="E4" s="67" t="n">
        <v>12</v>
      </c>
      <c r="F4" s="67" t="s">
        <v>142</v>
      </c>
    </row>
    <row r="5" customFormat="false" ht="15" hidden="false" customHeight="false" outlineLevel="0" collapsed="false">
      <c r="A5" s="66" t="n">
        <v>3</v>
      </c>
      <c r="B5" s="67" t="s">
        <v>90</v>
      </c>
      <c r="C5" s="68" t="n">
        <v>9941.88</v>
      </c>
      <c r="D5" s="68" t="n">
        <v>3936.26</v>
      </c>
      <c r="E5" s="67" t="n">
        <v>10</v>
      </c>
      <c r="F5" s="67" t="s">
        <v>142</v>
      </c>
    </row>
    <row r="6" customFormat="false" ht="15" hidden="false" customHeight="false" outlineLevel="0" collapsed="false">
      <c r="A6" s="69" t="n">
        <v>4</v>
      </c>
      <c r="B6" s="70" t="s">
        <v>106</v>
      </c>
      <c r="C6" s="71" t="n">
        <v>9760.8</v>
      </c>
      <c r="D6" s="71" t="n">
        <v>3442.48</v>
      </c>
      <c r="E6" s="70" t="n">
        <v>10</v>
      </c>
      <c r="F6" s="70" t="s">
        <v>143</v>
      </c>
    </row>
    <row r="7" customFormat="false" ht="15" hidden="false" customHeight="false" outlineLevel="0" collapsed="false">
      <c r="A7" s="69" t="n">
        <v>5</v>
      </c>
      <c r="B7" s="70" t="s">
        <v>94</v>
      </c>
      <c r="C7" s="71" t="n">
        <v>9371.81</v>
      </c>
      <c r="D7" s="71" t="n">
        <v>2922.02</v>
      </c>
      <c r="E7" s="70" t="n">
        <v>9</v>
      </c>
      <c r="F7" s="70" t="s">
        <v>143</v>
      </c>
    </row>
    <row r="8" customFormat="false" ht="15" hidden="false" customHeight="false" outlineLevel="0" collapsed="false">
      <c r="A8" s="69" t="n">
        <v>6</v>
      </c>
      <c r="B8" s="70" t="s">
        <v>119</v>
      </c>
      <c r="C8" s="71" t="n">
        <v>8740.18</v>
      </c>
      <c r="D8" s="71" t="n">
        <v>2848.62</v>
      </c>
      <c r="E8" s="70" t="n">
        <v>8</v>
      </c>
      <c r="F8" s="70" t="s">
        <v>143</v>
      </c>
    </row>
    <row r="9" customFormat="false" ht="15" hidden="false" customHeight="false" outlineLevel="0" collapsed="false">
      <c r="A9" s="72" t="n">
        <v>7</v>
      </c>
      <c r="B9" s="73" t="s">
        <v>129</v>
      </c>
      <c r="C9" s="74" t="n">
        <v>8490.18</v>
      </c>
      <c r="D9" s="74" t="n">
        <v>2652.75</v>
      </c>
      <c r="E9" s="73" t="n">
        <v>9</v>
      </c>
      <c r="F9" s="73" t="s">
        <v>144</v>
      </c>
    </row>
    <row r="10" customFormat="false" ht="15" hidden="false" customHeight="false" outlineLevel="0" collapsed="false">
      <c r="A10" s="72" t="n">
        <v>8</v>
      </c>
      <c r="B10" s="73" t="s">
        <v>83</v>
      </c>
      <c r="C10" s="74" t="n">
        <v>8339</v>
      </c>
      <c r="D10" s="74" t="n">
        <v>2988.71</v>
      </c>
      <c r="E10" s="73" t="n">
        <v>9</v>
      </c>
      <c r="F10" s="73" t="s">
        <v>144</v>
      </c>
    </row>
    <row r="11" customFormat="false" ht="15" hidden="false" customHeight="false" outlineLevel="0" collapsed="false">
      <c r="A11" s="72" t="n">
        <v>9</v>
      </c>
      <c r="B11" s="73" t="s">
        <v>88</v>
      </c>
      <c r="C11" s="74" t="n">
        <v>7928.71</v>
      </c>
      <c r="D11" s="74" t="n">
        <v>2965.48</v>
      </c>
      <c r="E11" s="73" t="n">
        <v>9</v>
      </c>
      <c r="F11" s="73" t="s">
        <v>144</v>
      </c>
    </row>
    <row r="12" customFormat="false" ht="15" hidden="false" customHeight="false" outlineLevel="0" collapsed="false">
      <c r="A12" s="72" t="n">
        <v>10</v>
      </c>
      <c r="B12" s="73" t="s">
        <v>134</v>
      </c>
      <c r="C12" s="74" t="n">
        <v>7813.59</v>
      </c>
      <c r="D12" s="74" t="n">
        <v>3211.82</v>
      </c>
      <c r="E12" s="73" t="n">
        <v>7</v>
      </c>
      <c r="F12" s="73" t="s">
        <v>144</v>
      </c>
    </row>
    <row r="14" customFormat="false" ht="15" hidden="false" customHeight="false" outlineLevel="0" collapsed="false">
      <c r="A14" s="75" t="s">
        <v>145</v>
      </c>
      <c r="B14" s="75"/>
      <c r="C14" s="75"/>
      <c r="D14" s="75"/>
      <c r="E14" s="75"/>
      <c r="F14" s="75"/>
    </row>
  </sheetData>
  <mergeCells count="2">
    <mergeCell ref="A1:F1"/>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2"/>
    <col collapsed="false" customWidth="true" hidden="false" outlineLevel="0" max="7" min="6" style="0" width="16"/>
  </cols>
  <sheetData>
    <row r="1" customFormat="false" ht="24" hidden="false" customHeight="true" outlineLevel="0" collapsed="false">
      <c r="A1" s="76" t="s">
        <v>146</v>
      </c>
      <c r="B1" s="76"/>
      <c r="C1" s="76"/>
      <c r="D1" s="76"/>
      <c r="E1" s="76"/>
      <c r="F1" s="76"/>
      <c r="G1" s="76"/>
    </row>
    <row r="3" customFormat="false" ht="15" hidden="false" customHeight="false" outlineLevel="0" collapsed="false">
      <c r="A3" s="77" t="s">
        <v>147</v>
      </c>
      <c r="B3" s="77"/>
      <c r="C3" s="77"/>
      <c r="D3" s="77"/>
      <c r="E3" s="77"/>
      <c r="F3" s="77"/>
      <c r="G3" s="77"/>
    </row>
    <row r="4" customFormat="false" ht="15" hidden="false" customHeight="false" outlineLevel="0" collapsed="false">
      <c r="A4" s="78" t="s">
        <v>148</v>
      </c>
      <c r="B4" s="79" t="n">
        <v>976.09</v>
      </c>
    </row>
    <row r="5" customFormat="false" ht="15" hidden="false" customHeight="false" outlineLevel="0" collapsed="false">
      <c r="A5" s="78" t="s">
        <v>149</v>
      </c>
      <c r="B5" s="80" t="n">
        <v>0.65</v>
      </c>
    </row>
    <row r="6" customFormat="false" ht="15" hidden="false" customHeight="false" outlineLevel="0" collapsed="false">
      <c r="A6" s="78" t="s">
        <v>150</v>
      </c>
      <c r="B6" s="80" t="n">
        <v>0.1</v>
      </c>
    </row>
    <row r="9" customFormat="false" ht="15" hidden="false" customHeight="false" outlineLevel="0" collapsed="false">
      <c r="A9" s="81" t="s">
        <v>151</v>
      </c>
      <c r="B9" s="81" t="s">
        <v>152</v>
      </c>
      <c r="C9" s="81" t="s">
        <v>153</v>
      </c>
      <c r="D9" s="81" t="s">
        <v>154</v>
      </c>
      <c r="E9" s="81" t="s">
        <v>155</v>
      </c>
      <c r="F9" s="81" t="s">
        <v>156</v>
      </c>
      <c r="G9" s="81" t="s">
        <v>157</v>
      </c>
    </row>
    <row r="10" customFormat="false" ht="15" hidden="false" customHeight="false" outlineLevel="0" collapsed="false">
      <c r="A10" s="63" t="n">
        <v>0</v>
      </c>
      <c r="B10" s="62" t="n">
        <f aca="false">$B$4*(1-A10)</f>
        <v>976.09</v>
      </c>
      <c r="C10" s="62" t="n">
        <f aca="false">B10*$B$5</f>
        <v>634.4585</v>
      </c>
      <c r="D10" s="62" t="n">
        <f aca="false">B10-C10</f>
        <v>341.6315</v>
      </c>
      <c r="E10" s="62" t="n">
        <f aca="false">D10*$B$6</f>
        <v>34.16315</v>
      </c>
      <c r="F10" s="62" t="n">
        <f aca="false">D10-E10</f>
        <v>307.46835</v>
      </c>
      <c r="G10" s="26" t="n">
        <f aca="false">IF(B10&gt;0,F10/B10,0)</f>
        <v>0.315</v>
      </c>
    </row>
    <row r="11" customFormat="false" ht="15" hidden="false" customHeight="false" outlineLevel="0" collapsed="false">
      <c r="A11" s="82" t="n">
        <v>0.05</v>
      </c>
      <c r="B11" s="83" t="n">
        <f aca="false">$B$4*(1-A11)</f>
        <v>927.2855</v>
      </c>
      <c r="C11" s="83" t="n">
        <f aca="false">B11*$B$5</f>
        <v>602.735575</v>
      </c>
      <c r="D11" s="83" t="n">
        <f aca="false">B11-C11</f>
        <v>324.549925</v>
      </c>
      <c r="E11" s="83" t="n">
        <f aca="false">D11*$B$6</f>
        <v>32.4549925</v>
      </c>
      <c r="F11" s="83" t="n">
        <f aca="false">D11-E11</f>
        <v>292.0949325</v>
      </c>
      <c r="G11" s="84" t="n">
        <f aca="false">IF(B11&gt;0,F11/B11,0)</f>
        <v>0.315</v>
      </c>
    </row>
    <row r="12" customFormat="false" ht="15" hidden="false" customHeight="false" outlineLevel="0" collapsed="false">
      <c r="A12" s="63" t="n">
        <v>0.1</v>
      </c>
      <c r="B12" s="62" t="n">
        <f aca="false">$B$4*(1-A12)</f>
        <v>878.481</v>
      </c>
      <c r="C12" s="62" t="n">
        <f aca="false">B12*$B$5</f>
        <v>571.01265</v>
      </c>
      <c r="D12" s="62" t="n">
        <f aca="false">B12-C12</f>
        <v>307.46835</v>
      </c>
      <c r="E12" s="62" t="n">
        <f aca="false">D12*$B$6</f>
        <v>30.746835</v>
      </c>
      <c r="F12" s="62" t="n">
        <f aca="false">D12-E12</f>
        <v>276.721515</v>
      </c>
      <c r="G12" s="26" t="n">
        <f aca="false">IF(B12&gt;0,F12/B12,0)</f>
        <v>0.315</v>
      </c>
    </row>
    <row r="13" customFormat="false" ht="15" hidden="false" customHeight="false" outlineLevel="0" collapsed="false">
      <c r="A13" s="82" t="n">
        <v>0.15</v>
      </c>
      <c r="B13" s="83" t="n">
        <f aca="false">$B$4*(1-A13)</f>
        <v>829.6765</v>
      </c>
      <c r="C13" s="83" t="n">
        <f aca="false">B13*$B$5</f>
        <v>539.289725</v>
      </c>
      <c r="D13" s="83" t="n">
        <f aca="false">B13-C13</f>
        <v>290.386775</v>
      </c>
      <c r="E13" s="83" t="n">
        <f aca="false">D13*$B$6</f>
        <v>29.0386775</v>
      </c>
      <c r="F13" s="83" t="n">
        <f aca="false">D13-E13</f>
        <v>261.3480975</v>
      </c>
      <c r="G13" s="84" t="n">
        <f aca="false">IF(B13&gt;0,F13/B13,0)</f>
        <v>0.315</v>
      </c>
    </row>
    <row r="14" customFormat="false" ht="15" hidden="false" customHeight="false" outlineLevel="0" collapsed="false">
      <c r="A14" s="63" t="n">
        <v>0.2</v>
      </c>
      <c r="B14" s="62" t="n">
        <f aca="false">$B$4*(1-A14)</f>
        <v>780.872</v>
      </c>
      <c r="C14" s="62" t="n">
        <f aca="false">B14*$B$5</f>
        <v>507.5668</v>
      </c>
      <c r="D14" s="62" t="n">
        <f aca="false">B14-C14</f>
        <v>273.3052</v>
      </c>
      <c r="E14" s="62" t="n">
        <f aca="false">D14*$B$6</f>
        <v>27.33052</v>
      </c>
      <c r="F14" s="62" t="n">
        <f aca="false">D14-E14</f>
        <v>245.97468</v>
      </c>
      <c r="G14" s="26" t="n">
        <f aca="false">IF(B14&gt;0,F14/B14,0)</f>
        <v>0.315</v>
      </c>
    </row>
    <row r="15" customFormat="false" ht="15" hidden="false" customHeight="false" outlineLevel="0" collapsed="false">
      <c r="A15" s="82" t="n">
        <v>0.25</v>
      </c>
      <c r="B15" s="83" t="n">
        <f aca="false">$B$4*(1-A15)</f>
        <v>732.0675</v>
      </c>
      <c r="C15" s="83" t="n">
        <f aca="false">B15*$B$5</f>
        <v>475.843875</v>
      </c>
      <c r="D15" s="83" t="n">
        <f aca="false">B15-C15</f>
        <v>256.223625</v>
      </c>
      <c r="E15" s="83" t="n">
        <f aca="false">D15*$B$6</f>
        <v>25.6223625</v>
      </c>
      <c r="F15" s="83" t="n">
        <f aca="false">D15-E15</f>
        <v>230.6012625</v>
      </c>
      <c r="G15" s="84" t="n">
        <f aca="false">IF(B15&gt;0,F15/B15,0)</f>
        <v>0.315</v>
      </c>
    </row>
    <row r="16" customFormat="false" ht="15" hidden="false" customHeight="false" outlineLevel="0" collapsed="false">
      <c r="A16" s="63" t="n">
        <v>0.3</v>
      </c>
      <c r="B16" s="62" t="n">
        <f aca="false">$B$4*(1-A16)</f>
        <v>683.263</v>
      </c>
      <c r="C16" s="62" t="n">
        <f aca="false">B16*$B$5</f>
        <v>444.12095</v>
      </c>
      <c r="D16" s="62" t="n">
        <f aca="false">B16-C16</f>
        <v>239.14205</v>
      </c>
      <c r="E16" s="62" t="n">
        <f aca="false">D16*$B$6</f>
        <v>23.914205</v>
      </c>
      <c r="F16" s="62" t="n">
        <f aca="false">D16-E16</f>
        <v>215.227845</v>
      </c>
      <c r="G16" s="26" t="n">
        <f aca="false">IF(B16&gt;0,F16/B16,0)</f>
        <v>0.315</v>
      </c>
    </row>
    <row r="17" customFormat="false" ht="15" hidden="false" customHeight="false" outlineLevel="0" collapsed="false">
      <c r="A17" s="82" t="n">
        <v>0.35</v>
      </c>
      <c r="B17" s="83" t="n">
        <f aca="false">$B$4*(1-A17)</f>
        <v>634.4585</v>
      </c>
      <c r="C17" s="83" t="n">
        <f aca="false">B17*$B$5</f>
        <v>412.398025</v>
      </c>
      <c r="D17" s="83" t="n">
        <f aca="false">B17-C17</f>
        <v>222.060475</v>
      </c>
      <c r="E17" s="83" t="n">
        <f aca="false">D17*$B$6</f>
        <v>22.2060475</v>
      </c>
      <c r="F17" s="83" t="n">
        <f aca="false">D17-E17</f>
        <v>199.8544275</v>
      </c>
      <c r="G17" s="84" t="n">
        <f aca="false">IF(B17&gt;0,F17/B17,0)</f>
        <v>0.315</v>
      </c>
    </row>
    <row r="18" customFormat="false" ht="15" hidden="false" customHeight="false" outlineLevel="0" collapsed="false">
      <c r="A18" s="63" t="n">
        <v>0.4</v>
      </c>
      <c r="B18" s="62" t="n">
        <f aca="false">$B$4*(1-A18)</f>
        <v>585.654</v>
      </c>
      <c r="C18" s="62" t="n">
        <f aca="false">B18*$B$5</f>
        <v>380.6751</v>
      </c>
      <c r="D18" s="62" t="n">
        <f aca="false">B18-C18</f>
        <v>204.9789</v>
      </c>
      <c r="E18" s="62" t="n">
        <f aca="false">D18*$B$6</f>
        <v>20.49789</v>
      </c>
      <c r="F18" s="62" t="n">
        <f aca="false">D18-E18</f>
        <v>184.48101</v>
      </c>
      <c r="G18" s="26" t="n">
        <f aca="false">IF(B18&gt;0,F18/B18,0)</f>
        <v>0.315</v>
      </c>
    </row>
    <row r="19" customFormat="false" ht="15" hidden="false" customHeight="false" outlineLevel="0" collapsed="false">
      <c r="A19" s="82" t="n">
        <v>0.5</v>
      </c>
      <c r="B19" s="83" t="n">
        <f aca="false">$B$4*(1-A19)</f>
        <v>488.045</v>
      </c>
      <c r="C19" s="83" t="n">
        <f aca="false">B19*$B$5</f>
        <v>317.22925</v>
      </c>
      <c r="D19" s="83" t="n">
        <f aca="false">B19-C19</f>
        <v>170.81575</v>
      </c>
      <c r="E19" s="83" t="n">
        <f aca="false">D19*$B$6</f>
        <v>17.081575</v>
      </c>
      <c r="F19" s="83" t="n">
        <f aca="false">D19-E19</f>
        <v>153.734175</v>
      </c>
      <c r="G19" s="84" t="n">
        <f aca="false">IF(B19&gt;0,F19/B19,0)</f>
        <v>0.315</v>
      </c>
    </row>
    <row r="21" customFormat="false" ht="27.75" hidden="false" customHeight="true" outlineLevel="0" collapsed="false">
      <c r="A21" s="85" t="s">
        <v>158</v>
      </c>
      <c r="B21" s="85"/>
      <c r="C21" s="85"/>
      <c r="D21" s="85"/>
      <c r="E21" s="85"/>
      <c r="F21" s="85"/>
      <c r="G21" s="85"/>
    </row>
  </sheetData>
  <mergeCells count="3">
    <mergeCell ref="A1:G1"/>
    <mergeCell ref="A3:G3"/>
    <mergeCell ref="A21:G21"/>
  </mergeCells>
  <conditionalFormatting sqref="F10:F19">
    <cfRule type="cellIs" priority="2" operator="lessThan" aboveAverage="0" equalAverage="0" bottom="0" percent="0" rank="0" text="" dxfId="1">
      <formula>0</formula>
    </cfRule>
  </conditionalFormatting>
  <conditionalFormatting sqref="G10:G19">
    <cfRule type="cellIs" priority="3" operator="lessThan" aboveAverage="0" equalAverage="0" bottom="0" percent="0" rank="0" text="" dxfId="1">
      <formula>0.1</formula>
    </cfRule>
    <cfRule type="cellIs" priority="4" operator="greaterThan" aboveAverage="0" equalAverage="0" bottom="0" percent="0" rank="0" text="" dxfId="2">
      <formula>0.25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7043"/>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6"/>
    <col collapsed="false" customWidth="true" hidden="false" outlineLevel="0" max="6" min="4" style="0" width="12"/>
    <col collapsed="false" customWidth="true" hidden="false" outlineLevel="0" max="8" min="7" style="0" width="14"/>
  </cols>
  <sheetData>
    <row r="1" customFormat="false" ht="24" hidden="false" customHeight="true" outlineLevel="0" collapsed="false">
      <c r="A1" s="86" t="s">
        <v>159</v>
      </c>
      <c r="B1" s="86"/>
      <c r="C1" s="86"/>
      <c r="D1" s="86"/>
      <c r="E1" s="86"/>
      <c r="F1" s="86"/>
      <c r="G1" s="86"/>
      <c r="H1" s="86"/>
    </row>
    <row r="3" customFormat="false" ht="24" hidden="false" customHeight="true" outlineLevel="0" collapsed="false">
      <c r="A3" s="86" t="s">
        <v>160</v>
      </c>
      <c r="B3" s="86"/>
      <c r="C3" s="86"/>
      <c r="D3" s="86"/>
    </row>
    <row r="4" customFormat="false" ht="15" hidden="false" customHeight="false" outlineLevel="0" collapsed="false">
      <c r="A4" s="87" t="s">
        <v>161</v>
      </c>
      <c r="B4" s="88" t="n">
        <v>0.7734</v>
      </c>
    </row>
    <row r="5" customFormat="false" ht="15" hidden="false" customHeight="false" outlineLevel="0" collapsed="false">
      <c r="A5" s="87" t="s">
        <v>162</v>
      </c>
      <c r="B5" s="88" t="n">
        <v>0.5982</v>
      </c>
    </row>
    <row r="6" customFormat="false" ht="15" hidden="false" customHeight="false" outlineLevel="0" collapsed="false">
      <c r="A6" s="87" t="s">
        <v>163</v>
      </c>
      <c r="B6" s="88" t="n">
        <v>0.5961</v>
      </c>
    </row>
    <row r="7" customFormat="false" ht="15" hidden="false" customHeight="false" outlineLevel="0" collapsed="false">
      <c r="A7" s="87" t="s">
        <v>164</v>
      </c>
      <c r="B7" s="88" t="n">
        <v>0.0204</v>
      </c>
    </row>
    <row r="8" customFormat="false" ht="15" hidden="false" customHeight="false" outlineLevel="0" collapsed="false">
      <c r="A8" s="87" t="s">
        <v>165</v>
      </c>
      <c r="B8" s="88" t="n">
        <v>200</v>
      </c>
    </row>
    <row r="10" customFormat="false" ht="24" hidden="false" customHeight="true" outlineLevel="0" collapsed="false">
      <c r="A10" s="86" t="s">
        <v>166</v>
      </c>
      <c r="B10" s="86"/>
      <c r="C10" s="86"/>
      <c r="D10" s="86"/>
      <c r="E10" s="86"/>
      <c r="F10" s="86"/>
    </row>
    <row r="11" customFormat="false" ht="23.85" hidden="false" customHeight="false" outlineLevel="0" collapsed="false">
      <c r="A11" s="89" t="s">
        <v>167</v>
      </c>
      <c r="B11" s="89" t="s">
        <v>168</v>
      </c>
      <c r="C11" s="89" t="s">
        <v>169</v>
      </c>
      <c r="D11" s="89" t="s">
        <v>170</v>
      </c>
      <c r="E11" s="89" t="s">
        <v>171</v>
      </c>
      <c r="F11" s="89" t="s">
        <v>172</v>
      </c>
    </row>
    <row r="12" customFormat="false" ht="15" hidden="false" customHeight="false" outlineLevel="0" collapsed="false">
      <c r="A12" s="25" t="s">
        <v>173</v>
      </c>
      <c r="B12" s="25" t="n">
        <v>1</v>
      </c>
      <c r="C12" s="62" t="n">
        <v>2194058.18</v>
      </c>
      <c r="D12" s="62" t="n">
        <v>2194058.18</v>
      </c>
      <c r="E12" s="25" t="n">
        <v>294.724</v>
      </c>
      <c r="F12" s="25" t="n">
        <v>0</v>
      </c>
    </row>
    <row r="13" customFormat="false" ht="15" hidden="false" customHeight="false" outlineLevel="0" collapsed="false">
      <c r="A13" s="25" t="s">
        <v>174</v>
      </c>
      <c r="B13" s="25" t="n">
        <v>198</v>
      </c>
      <c r="C13" s="62" t="n">
        <v>1474001.25</v>
      </c>
      <c r="D13" s="62" t="n">
        <v>7444.45</v>
      </c>
      <c r="E13" s="25"/>
      <c r="F13" s="25"/>
    </row>
    <row r="14" customFormat="false" ht="15" hidden="false" customHeight="false" outlineLevel="0" collapsed="false">
      <c r="A14" s="25" t="s">
        <v>175</v>
      </c>
      <c r="B14" s="25" t="n">
        <v>199</v>
      </c>
      <c r="C14" s="62" t="n">
        <v>3668059.43</v>
      </c>
      <c r="D14" s="25"/>
      <c r="E14" s="25"/>
      <c r="F14" s="25"/>
    </row>
    <row r="16" customFormat="false" ht="24" hidden="false" customHeight="true" outlineLevel="0" collapsed="false">
      <c r="A16" s="86" t="s">
        <v>176</v>
      </c>
      <c r="B16" s="86"/>
      <c r="C16" s="86"/>
      <c r="D16" s="86"/>
      <c r="E16" s="86"/>
    </row>
    <row r="17" customFormat="false" ht="15" hidden="false" customHeight="false" outlineLevel="0" collapsed="false">
      <c r="A17" s="89"/>
      <c r="B17" s="89" t="s">
        <v>177</v>
      </c>
      <c r="C17" s="89" t="s">
        <v>178</v>
      </c>
      <c r="D17" s="89" t="s">
        <v>179</v>
      </c>
      <c r="E17" s="89" t="s">
        <v>180</v>
      </c>
    </row>
    <row r="18" customFormat="false" ht="15" hidden="false" customHeight="false" outlineLevel="0" collapsed="false">
      <c r="A18" s="25" t="s">
        <v>181</v>
      </c>
      <c r="B18" s="25" t="n">
        <v>-1.0316</v>
      </c>
      <c r="C18" s="25" t="n">
        <v>0.0204</v>
      </c>
      <c r="D18" s="25" t="n">
        <v>-50.4742</v>
      </c>
      <c r="E18" s="25" t="n">
        <v>0</v>
      </c>
    </row>
    <row r="19" customFormat="false" ht="15" hidden="false" customHeight="false" outlineLevel="0" collapsed="false">
      <c r="A19" s="90" t="s">
        <v>182</v>
      </c>
      <c r="B19" s="90" t="n">
        <v>0.3509</v>
      </c>
      <c r="C19" s="90" t="n">
        <v>0.0001</v>
      </c>
      <c r="D19" s="90" t="n">
        <v>10.9376</v>
      </c>
      <c r="E19" s="90" t="n">
        <v>0</v>
      </c>
    </row>
    <row r="21" customFormat="false" ht="15" hidden="false" customHeight="false" outlineLevel="0" collapsed="false">
      <c r="A21" s="91" t="s">
        <v>183</v>
      </c>
      <c r="B21" s="91"/>
      <c r="C21" s="91"/>
      <c r="D21" s="91"/>
      <c r="E21" s="91"/>
      <c r="F21" s="91"/>
      <c r="G21" s="91"/>
      <c r="H21" s="91"/>
    </row>
    <row r="22" customFormat="false" ht="15" hidden="false" customHeight="false" outlineLevel="0" collapsed="false">
      <c r="A22" s="92" t="s">
        <v>184</v>
      </c>
      <c r="B22" s="92"/>
      <c r="C22" s="92"/>
      <c r="D22" s="92"/>
      <c r="E22" s="92"/>
      <c r="F22" s="92"/>
      <c r="G22" s="92"/>
      <c r="H22" s="92"/>
    </row>
    <row r="24" customFormat="false" ht="24" hidden="false" customHeight="true" outlineLevel="0" collapsed="false">
      <c r="A24" s="65" t="s">
        <v>185</v>
      </c>
      <c r="B24" s="65"/>
      <c r="C24" s="65"/>
      <c r="D24" s="65"/>
      <c r="E24" s="65"/>
    </row>
    <row r="25" customFormat="false" ht="15" hidden="false" customHeight="false" outlineLevel="0" collapsed="false">
      <c r="A25" s="54" t="s">
        <v>186</v>
      </c>
      <c r="B25" s="54" t="s">
        <v>21</v>
      </c>
      <c r="C25" s="54" t="s">
        <v>22</v>
      </c>
      <c r="D25" s="54" t="s">
        <v>76</v>
      </c>
      <c r="E25" s="54" t="s">
        <v>77</v>
      </c>
    </row>
    <row r="26" customFormat="false" ht="15" hidden="false" customHeight="false" outlineLevel="0" collapsed="false">
      <c r="A26" s="93" t="s">
        <v>187</v>
      </c>
      <c r="B26" s="62" t="n">
        <v>976.0888</v>
      </c>
      <c r="C26" s="62" t="n">
        <v>341.4351</v>
      </c>
      <c r="D26" s="25" t="n">
        <v>9.995</v>
      </c>
      <c r="E26" s="26" t="n">
        <v>0.0973</v>
      </c>
    </row>
    <row r="27" customFormat="false" ht="15" hidden="false" customHeight="false" outlineLevel="0" collapsed="false">
      <c r="A27" s="94" t="s">
        <v>164</v>
      </c>
      <c r="B27" s="95" t="n">
        <v>21.1619</v>
      </c>
      <c r="C27" s="95" t="n">
        <v>9.6001</v>
      </c>
      <c r="D27" s="96" t="n">
        <v>0.3993</v>
      </c>
      <c r="E27" s="97" t="n">
        <v>0.0051</v>
      </c>
    </row>
    <row r="28" customFormat="false" ht="15" hidden="false" customHeight="false" outlineLevel="0" collapsed="false">
      <c r="A28" s="93" t="s">
        <v>188</v>
      </c>
      <c r="B28" s="62" t="n">
        <v>976.72</v>
      </c>
      <c r="C28" s="62" t="n">
        <v>332.255</v>
      </c>
      <c r="D28" s="25" t="n">
        <v>10</v>
      </c>
      <c r="E28" s="26" t="n">
        <v>0.1</v>
      </c>
    </row>
    <row r="29" customFormat="false" ht="15" hidden="false" customHeight="false" outlineLevel="0" collapsed="false">
      <c r="A29" s="94" t="s">
        <v>189</v>
      </c>
      <c r="B29" s="95" t="n">
        <v>258.51</v>
      </c>
      <c r="C29" s="95" t="n">
        <v>64.63</v>
      </c>
      <c r="D29" s="96" t="n">
        <v>8</v>
      </c>
      <c r="E29" s="97" t="n">
        <v>0</v>
      </c>
    </row>
    <row r="30" customFormat="false" ht="15" hidden="false" customHeight="false" outlineLevel="0" collapsed="false">
      <c r="A30" s="93" t="s">
        <v>190</v>
      </c>
      <c r="B30" s="62" t="n">
        <v>299.2738</v>
      </c>
      <c r="C30" s="62" t="n">
        <v>135.7662</v>
      </c>
      <c r="D30" s="25" t="n">
        <v>5.6466</v>
      </c>
      <c r="E30" s="26" t="n">
        <v>0.0723</v>
      </c>
    </row>
    <row r="31" customFormat="false" ht="15" hidden="false" customHeight="false" outlineLevel="0" collapsed="false">
      <c r="A31" s="94" t="s">
        <v>191</v>
      </c>
      <c r="B31" s="95" t="n">
        <v>89564.7829</v>
      </c>
      <c r="C31" s="95" t="n">
        <v>18432.4594</v>
      </c>
      <c r="D31" s="96" t="n">
        <v>31.8844</v>
      </c>
      <c r="E31" s="97" t="n">
        <v>0.0052</v>
      </c>
    </row>
    <row r="32" customFormat="false" ht="15" hidden="false" customHeight="false" outlineLevel="0" collapsed="false">
      <c r="A32" s="93" t="s">
        <v>192</v>
      </c>
      <c r="B32" s="62" t="n">
        <v>-0.0886</v>
      </c>
      <c r="C32" s="62" t="n">
        <v>0.2645</v>
      </c>
      <c r="D32" s="25" t="n">
        <v>-1.2091</v>
      </c>
      <c r="E32" s="26" t="n">
        <v>-1.3257</v>
      </c>
    </row>
    <row r="33" customFormat="false" ht="15" hidden="false" customHeight="false" outlineLevel="0" collapsed="false">
      <c r="A33" s="94" t="s">
        <v>193</v>
      </c>
      <c r="B33" s="95" t="n">
        <v>0.1469</v>
      </c>
      <c r="C33" s="95" t="n">
        <v>0.5734</v>
      </c>
      <c r="D33" s="96" t="n">
        <v>0.0608</v>
      </c>
      <c r="E33" s="97" t="n">
        <v>0.0968</v>
      </c>
    </row>
    <row r="34" customFormat="false" ht="15" hidden="false" customHeight="false" outlineLevel="0" collapsed="false">
      <c r="A34" s="93" t="s">
        <v>194</v>
      </c>
      <c r="B34" s="62" t="n">
        <v>1665.15</v>
      </c>
      <c r="C34" s="62" t="n">
        <v>704.83</v>
      </c>
      <c r="D34" s="25" t="n">
        <v>18</v>
      </c>
      <c r="E34" s="26" t="n">
        <v>0.2</v>
      </c>
    </row>
    <row r="35" customFormat="false" ht="15" hidden="false" customHeight="false" outlineLevel="0" collapsed="false">
      <c r="A35" s="94" t="s">
        <v>195</v>
      </c>
      <c r="B35" s="95" t="n">
        <v>258.51</v>
      </c>
      <c r="C35" s="95" t="n">
        <v>64.63</v>
      </c>
      <c r="D35" s="96" t="n">
        <v>1</v>
      </c>
      <c r="E35" s="97" t="n">
        <v>0</v>
      </c>
    </row>
    <row r="36" customFormat="false" ht="15" hidden="false" customHeight="false" outlineLevel="0" collapsed="false">
      <c r="A36" s="93" t="s">
        <v>196</v>
      </c>
      <c r="B36" s="62" t="n">
        <v>1923.66</v>
      </c>
      <c r="C36" s="62" t="n">
        <v>769.46</v>
      </c>
      <c r="D36" s="25" t="n">
        <v>19</v>
      </c>
      <c r="E36" s="26" t="n">
        <v>0.2</v>
      </c>
    </row>
    <row r="37" customFormat="false" ht="15" hidden="false" customHeight="false" outlineLevel="0" collapsed="false">
      <c r="A37" s="94" t="s">
        <v>197</v>
      </c>
      <c r="B37" s="95" t="n">
        <v>195217.76</v>
      </c>
      <c r="C37" s="95" t="n">
        <v>68287.01</v>
      </c>
      <c r="D37" s="96" t="n">
        <v>1999</v>
      </c>
      <c r="E37" s="97" t="n">
        <v>19.45</v>
      </c>
    </row>
    <row r="38" customFormat="false" ht="15" hidden="false" customHeight="false" outlineLevel="0" collapsed="false">
      <c r="A38" s="93" t="s">
        <v>198</v>
      </c>
      <c r="B38" s="62" t="n">
        <v>200</v>
      </c>
      <c r="C38" s="62" t="n">
        <v>200</v>
      </c>
      <c r="D38" s="25" t="n">
        <v>200</v>
      </c>
      <c r="E38" s="26" t="n">
        <v>200</v>
      </c>
    </row>
    <row r="39" customFormat="false" ht="15" hidden="false" customHeight="false" outlineLevel="0" collapsed="false">
      <c r="A39" s="94" t="s">
        <v>199</v>
      </c>
      <c r="B39" s="95" t="n">
        <v>41.4772</v>
      </c>
      <c r="C39" s="95" t="n">
        <v>18.8162</v>
      </c>
      <c r="D39" s="96" t="n">
        <v>0.7826</v>
      </c>
      <c r="E39" s="97" t="n">
        <v>0.01</v>
      </c>
    </row>
  </sheetData>
  <mergeCells count="7">
    <mergeCell ref="A1:H1"/>
    <mergeCell ref="A3:D3"/>
    <mergeCell ref="A10:F10"/>
    <mergeCell ref="A16:E16"/>
    <mergeCell ref="A21:H21"/>
    <mergeCell ref="A22:H22"/>
    <mergeCell ref="A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4"/>
    <col collapsed="false" customWidth="true" hidden="false" outlineLevel="0" max="4" min="4" style="0" width="12"/>
    <col collapsed="false" customWidth="true" hidden="false" outlineLevel="0" max="5" min="5" style="0" width="18"/>
  </cols>
  <sheetData>
    <row r="1" customFormat="false" ht="24" hidden="false" customHeight="true" outlineLevel="0" collapsed="false">
      <c r="A1" s="98" t="s">
        <v>200</v>
      </c>
      <c r="B1" s="98"/>
      <c r="C1" s="98"/>
      <c r="D1" s="98"/>
      <c r="E1" s="98"/>
    </row>
    <row r="2" customFormat="false" ht="15" hidden="false" customHeight="false" outlineLevel="0" collapsed="false">
      <c r="A2" s="99" t="s">
        <v>201</v>
      </c>
      <c r="B2" s="99" t="s">
        <v>139</v>
      </c>
      <c r="C2" s="99" t="s">
        <v>202</v>
      </c>
      <c r="D2" s="99" t="s">
        <v>203</v>
      </c>
      <c r="E2" s="99" t="s">
        <v>204</v>
      </c>
    </row>
    <row r="3" customFormat="false" ht="15" hidden="false" customHeight="false" outlineLevel="0" collapsed="false">
      <c r="A3" s="25" t="s">
        <v>205</v>
      </c>
      <c r="B3" s="62" t="n">
        <v>19029.96</v>
      </c>
      <c r="C3" s="25" t="s">
        <v>206</v>
      </c>
      <c r="D3" s="25" t="s">
        <v>206</v>
      </c>
      <c r="E3" s="100" t="s">
        <v>207</v>
      </c>
    </row>
    <row r="4" customFormat="false" ht="15" hidden="false" customHeight="false" outlineLevel="0" collapsed="false">
      <c r="A4" s="101" t="s">
        <v>208</v>
      </c>
      <c r="B4" s="102" t="n">
        <v>18507.34</v>
      </c>
      <c r="C4" s="103" t="n">
        <v>0</v>
      </c>
      <c r="D4" s="104" t="n">
        <v>0</v>
      </c>
      <c r="E4" s="105" t="s">
        <v>209</v>
      </c>
    </row>
    <row r="5" customFormat="false" ht="15" hidden="false" customHeight="false" outlineLevel="0" collapsed="false">
      <c r="A5" s="25" t="s">
        <v>210</v>
      </c>
      <c r="B5" s="62" t="n">
        <v>20187.51</v>
      </c>
      <c r="C5" s="106" t="n">
        <v>0</v>
      </c>
      <c r="D5" s="26" t="n">
        <v>0</v>
      </c>
      <c r="E5" s="107" t="s">
        <v>209</v>
      </c>
    </row>
    <row r="6" customFormat="false" ht="15" hidden="false" customHeight="false" outlineLevel="0" collapsed="false">
      <c r="A6" s="101" t="s">
        <v>211</v>
      </c>
      <c r="B6" s="102" t="n">
        <v>11609.04</v>
      </c>
      <c r="C6" s="103" t="n">
        <v>0</v>
      </c>
      <c r="D6" s="104" t="n">
        <v>0</v>
      </c>
      <c r="E6" s="105" t="s">
        <v>209</v>
      </c>
    </row>
    <row r="7" customFormat="false" ht="15" hidden="false" customHeight="false" outlineLevel="0" collapsed="false">
      <c r="A7" s="25" t="s">
        <v>212</v>
      </c>
      <c r="B7" s="62" t="n">
        <v>10091.7</v>
      </c>
      <c r="C7" s="106" t="n">
        <v>0</v>
      </c>
      <c r="D7" s="26" t="n">
        <v>0</v>
      </c>
      <c r="E7" s="107" t="s">
        <v>209</v>
      </c>
    </row>
    <row r="8" customFormat="false" ht="15" hidden="false" customHeight="false" outlineLevel="0" collapsed="false">
      <c r="A8" s="101" t="s">
        <v>213</v>
      </c>
      <c r="B8" s="102" t="n">
        <v>20533.5</v>
      </c>
      <c r="C8" s="103" t="n">
        <v>0</v>
      </c>
      <c r="D8" s="104" t="n">
        <v>0</v>
      </c>
      <c r="E8" s="105" t="s">
        <v>209</v>
      </c>
    </row>
    <row r="9" customFormat="false" ht="15" hidden="false" customHeight="false" outlineLevel="0" collapsed="false">
      <c r="A9" s="25" t="s">
        <v>214</v>
      </c>
      <c r="B9" s="62" t="n">
        <v>14215.24</v>
      </c>
      <c r="C9" s="106" t="n">
        <v>0</v>
      </c>
      <c r="D9" s="26" t="n">
        <v>0</v>
      </c>
      <c r="E9" s="107" t="s">
        <v>209</v>
      </c>
    </row>
    <row r="10" customFormat="false" ht="15" hidden="false" customHeight="false" outlineLevel="0" collapsed="false">
      <c r="A10" s="101" t="s">
        <v>215</v>
      </c>
      <c r="B10" s="102" t="n">
        <v>20135.03</v>
      </c>
      <c r="C10" s="103" t="n">
        <v>0</v>
      </c>
      <c r="D10" s="104" t="n">
        <v>0</v>
      </c>
      <c r="E10" s="105" t="s">
        <v>209</v>
      </c>
    </row>
    <row r="11" customFormat="false" ht="15" hidden="false" customHeight="false" outlineLevel="0" collapsed="false">
      <c r="A11" s="25" t="s">
        <v>216</v>
      </c>
      <c r="B11" s="62" t="n">
        <v>11120.04</v>
      </c>
      <c r="C11" s="106" t="n">
        <v>0</v>
      </c>
      <c r="D11" s="26" t="n">
        <v>0</v>
      </c>
      <c r="E11" s="107" t="s">
        <v>209</v>
      </c>
    </row>
    <row r="12" customFormat="false" ht="15" hidden="false" customHeight="false" outlineLevel="0" collapsed="false">
      <c r="A12" s="101" t="s">
        <v>217</v>
      </c>
      <c r="B12" s="102" t="n">
        <v>14914.65</v>
      </c>
      <c r="C12" s="103" t="n">
        <v>0</v>
      </c>
      <c r="D12" s="104" t="n">
        <v>0</v>
      </c>
      <c r="E12" s="105" t="s">
        <v>209</v>
      </c>
    </row>
    <row r="13" customFormat="false" ht="15" hidden="false" customHeight="false" outlineLevel="0" collapsed="false">
      <c r="A13" s="25" t="s">
        <v>218</v>
      </c>
      <c r="B13" s="62" t="n">
        <v>14006.36</v>
      </c>
      <c r="C13" s="106" t="n">
        <v>0</v>
      </c>
      <c r="D13" s="26" t="n">
        <v>0</v>
      </c>
      <c r="E13" s="107" t="s">
        <v>209</v>
      </c>
    </row>
    <row r="14" customFormat="false" ht="15" hidden="false" customHeight="false" outlineLevel="0" collapsed="false">
      <c r="A14" s="101" t="s">
        <v>219</v>
      </c>
      <c r="B14" s="102" t="n">
        <v>17655.22</v>
      </c>
      <c r="C14" s="103" t="n">
        <v>0</v>
      </c>
      <c r="D14" s="104" t="n">
        <v>0</v>
      </c>
      <c r="E14" s="105" t="s">
        <v>209</v>
      </c>
    </row>
    <row r="15" customFormat="false" ht="15" hidden="false" customHeight="false" outlineLevel="0" collapsed="false">
      <c r="A15" s="25" t="s">
        <v>220</v>
      </c>
      <c r="B15" s="62" t="n">
        <v>3212.17</v>
      </c>
      <c r="C15" s="106" t="n">
        <v>0</v>
      </c>
      <c r="D15" s="26" t="n">
        <v>0</v>
      </c>
      <c r="E15" s="107" t="s">
        <v>209</v>
      </c>
    </row>
    <row r="17" customFormat="false" ht="15" hidden="false" customHeight="false" outlineLevel="0" collapsed="false">
      <c r="A17" s="108" t="s">
        <v>221</v>
      </c>
      <c r="B17" s="108"/>
      <c r="C17" s="108"/>
      <c r="D17" s="108"/>
      <c r="E17" s="108"/>
    </row>
  </sheetData>
  <mergeCells count="2">
    <mergeCell ref="A1:E1"/>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CC1"/>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4"/>
    <col collapsed="false" customWidth="true" hidden="false" outlineLevel="0" max="4" min="4" style="0" width="20"/>
  </cols>
  <sheetData>
    <row r="1" customFormat="false" ht="24" hidden="false" customHeight="true" outlineLevel="0" collapsed="false">
      <c r="A1" s="109" t="s">
        <v>222</v>
      </c>
      <c r="B1" s="109"/>
      <c r="C1" s="109"/>
      <c r="D1" s="109"/>
    </row>
    <row r="3" customFormat="false" ht="15" hidden="false" customHeight="false" outlineLevel="0" collapsed="false">
      <c r="A3" s="110" t="s">
        <v>223</v>
      </c>
      <c r="B3" s="110"/>
      <c r="C3" s="110"/>
      <c r="D3" s="110"/>
    </row>
    <row r="5" customFormat="false" ht="15" hidden="false" customHeight="false" outlineLevel="0" collapsed="false">
      <c r="A5" s="111" t="s">
        <v>224</v>
      </c>
      <c r="B5" s="111" t="s">
        <v>225</v>
      </c>
      <c r="C5" s="111" t="s">
        <v>226</v>
      </c>
      <c r="D5" s="111" t="s">
        <v>227</v>
      </c>
    </row>
    <row r="6" customFormat="false" ht="15" hidden="false" customHeight="false" outlineLevel="0" collapsed="false">
      <c r="A6" s="25" t="s">
        <v>228</v>
      </c>
      <c r="B6" s="25" t="s">
        <v>229</v>
      </c>
      <c r="C6" s="112" t="n">
        <f aca="true">NOW()</f>
        <v>46139.4171948763</v>
      </c>
      <c r="D6" s="113" t="n">
        <f aca="true">TODAY()</f>
        <v>46139</v>
      </c>
    </row>
    <row r="7" customFormat="false" ht="15" hidden="false" customHeight="false" outlineLevel="0" collapsed="false">
      <c r="A7" s="114" t="s">
        <v>230</v>
      </c>
      <c r="B7" s="114" t="s">
        <v>231</v>
      </c>
      <c r="C7" s="115" t="n">
        <f aca="true">NOW()</f>
        <v>46139.4171948763</v>
      </c>
      <c r="D7" s="116" t="n">
        <f aca="true">TODAY()</f>
        <v>46139</v>
      </c>
    </row>
    <row r="8" customFormat="false" ht="15" hidden="false" customHeight="false" outlineLevel="0" collapsed="false">
      <c r="A8" s="25" t="s">
        <v>232</v>
      </c>
      <c r="B8" s="25" t="s">
        <v>233</v>
      </c>
      <c r="C8" s="112" t="n">
        <f aca="true">NOW()</f>
        <v>46139.4171948764</v>
      </c>
      <c r="D8" s="113" t="n">
        <f aca="true">TODAY()</f>
        <v>46139</v>
      </c>
    </row>
    <row r="9" customFormat="false" ht="15" hidden="false" customHeight="false" outlineLevel="0" collapsed="false">
      <c r="A9" s="114" t="s">
        <v>234</v>
      </c>
      <c r="B9" s="114" t="s">
        <v>235</v>
      </c>
      <c r="C9" s="115" t="n">
        <f aca="true">NOW()</f>
        <v>46139.4171948764</v>
      </c>
      <c r="D9" s="116" t="n">
        <f aca="true">TODAY()</f>
        <v>46139</v>
      </c>
    </row>
    <row r="10" customFormat="false" ht="15" hidden="false" customHeight="false" outlineLevel="0" collapsed="false">
      <c r="A10" s="25" t="s">
        <v>236</v>
      </c>
      <c r="B10" s="25" t="s">
        <v>237</v>
      </c>
      <c r="C10" s="112" t="n">
        <f aca="true">NOW()</f>
        <v>46139.4171948764</v>
      </c>
      <c r="D10" s="113" t="n">
        <f aca="true">TODAY()</f>
        <v>46139</v>
      </c>
    </row>
    <row r="12" customFormat="false" ht="15" hidden="false" customHeight="false" outlineLevel="0" collapsed="false">
      <c r="A12" s="117" t="s">
        <v>238</v>
      </c>
      <c r="B12" s="117"/>
      <c r="C12" s="117"/>
      <c r="D12" s="117"/>
    </row>
  </sheetData>
  <mergeCells count="3">
    <mergeCell ref="A1:D1"/>
    <mergeCell ref="A3:D3"/>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5722"/>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6"/>
    <col collapsed="false" customWidth="true" hidden="false" outlineLevel="0" max="4" min="4" style="0" width="10"/>
    <col collapsed="false" customWidth="true" hidden="false" outlineLevel="0" max="5" min="5" style="0" width="14"/>
    <col collapsed="false" customWidth="true" hidden="false" outlineLevel="0" max="6" min="6" style="0" width="18"/>
    <col collapsed="false" customWidth="true" hidden="false" outlineLevel="0" max="7" min="7" style="0" width="16"/>
  </cols>
  <sheetData>
    <row r="1" customFormat="false" ht="24" hidden="false" customHeight="true" outlineLevel="0" collapsed="false">
      <c r="A1" s="118" t="s">
        <v>239</v>
      </c>
      <c r="B1" s="118"/>
      <c r="C1" s="118"/>
      <c r="D1" s="118"/>
      <c r="E1" s="118"/>
      <c r="F1" s="118"/>
      <c r="G1" s="118"/>
    </row>
    <row r="3" customFormat="false" ht="15" hidden="false" customHeight="false" outlineLevel="0" collapsed="false">
      <c r="A3" s="119" t="s">
        <v>72</v>
      </c>
      <c r="B3" s="119" t="s">
        <v>139</v>
      </c>
      <c r="C3" s="119" t="s">
        <v>140</v>
      </c>
      <c r="D3" s="119" t="s">
        <v>23</v>
      </c>
      <c r="E3" s="119" t="s">
        <v>240</v>
      </c>
      <c r="F3" s="119" t="s">
        <v>241</v>
      </c>
      <c r="G3" s="119" t="s">
        <v>242</v>
      </c>
    </row>
    <row r="4" customFormat="false" ht="15" hidden="false" customHeight="false" outlineLevel="0" collapsed="false">
      <c r="A4" s="120" t="s">
        <v>120</v>
      </c>
      <c r="B4" s="121" t="n">
        <v>11611.06</v>
      </c>
      <c r="C4" s="121" t="n">
        <v>4201.59</v>
      </c>
      <c r="D4" s="120" t="n">
        <v>11</v>
      </c>
      <c r="E4" s="122" t="n">
        <v>0.1</v>
      </c>
      <c r="F4" s="120" t="s">
        <v>29</v>
      </c>
      <c r="G4" s="123" t="s">
        <v>243</v>
      </c>
    </row>
    <row r="5" customFormat="false" ht="15" hidden="false" customHeight="false" outlineLevel="0" collapsed="false">
      <c r="A5" s="120" t="s">
        <v>114</v>
      </c>
      <c r="B5" s="121" t="n">
        <v>10293.87</v>
      </c>
      <c r="C5" s="121" t="n">
        <v>3541.02</v>
      </c>
      <c r="D5" s="120" t="n">
        <v>12</v>
      </c>
      <c r="E5" s="122" t="n">
        <v>0.12</v>
      </c>
      <c r="F5" s="120" t="s">
        <v>35</v>
      </c>
      <c r="G5" s="123" t="s">
        <v>243</v>
      </c>
    </row>
    <row r="6" customFormat="false" ht="15" hidden="false" customHeight="false" outlineLevel="0" collapsed="false">
      <c r="A6" s="120" t="s">
        <v>90</v>
      </c>
      <c r="B6" s="121" t="n">
        <v>9941.88</v>
      </c>
      <c r="C6" s="121" t="n">
        <v>3936.26</v>
      </c>
      <c r="D6" s="120" t="n">
        <v>10</v>
      </c>
      <c r="E6" s="122" t="n">
        <v>0.04</v>
      </c>
      <c r="F6" s="120" t="s">
        <v>15</v>
      </c>
      <c r="G6" s="123" t="s">
        <v>243</v>
      </c>
    </row>
    <row r="7" customFormat="false" ht="15" hidden="false" customHeight="false" outlineLevel="0" collapsed="false">
      <c r="A7" s="120" t="s">
        <v>106</v>
      </c>
      <c r="B7" s="121" t="n">
        <v>9760.8</v>
      </c>
      <c r="C7" s="121" t="n">
        <v>3442.48</v>
      </c>
      <c r="D7" s="120" t="n">
        <v>10</v>
      </c>
      <c r="E7" s="122" t="n">
        <v>0.11</v>
      </c>
      <c r="F7" s="120" t="s">
        <v>35</v>
      </c>
      <c r="G7" s="123" t="s">
        <v>243</v>
      </c>
    </row>
    <row r="8" customFormat="false" ht="15" hidden="false" customHeight="false" outlineLevel="0" collapsed="false">
      <c r="A8" s="120" t="s">
        <v>94</v>
      </c>
      <c r="B8" s="121" t="n">
        <v>9371.81</v>
      </c>
      <c r="C8" s="121" t="n">
        <v>2922.02</v>
      </c>
      <c r="D8" s="120" t="n">
        <v>9</v>
      </c>
      <c r="E8" s="122" t="n">
        <v>0.08</v>
      </c>
      <c r="F8" s="120" t="s">
        <v>33</v>
      </c>
      <c r="G8" s="123" t="s">
        <v>243</v>
      </c>
    </row>
    <row r="9" customFormat="false" ht="15" hidden="false" customHeight="false" outlineLevel="0" collapsed="false">
      <c r="A9" s="120" t="s">
        <v>119</v>
      </c>
      <c r="B9" s="121" t="n">
        <v>8740.18</v>
      </c>
      <c r="C9" s="121" t="n">
        <v>2848.62</v>
      </c>
      <c r="D9" s="120" t="n">
        <v>8</v>
      </c>
      <c r="E9" s="122" t="n">
        <v>0.11</v>
      </c>
      <c r="F9" s="120" t="s">
        <v>15</v>
      </c>
      <c r="G9" s="123" t="s">
        <v>243</v>
      </c>
    </row>
    <row r="10" customFormat="false" ht="15" hidden="false" customHeight="false" outlineLevel="0" collapsed="false">
      <c r="A10" s="120" t="s">
        <v>129</v>
      </c>
      <c r="B10" s="121" t="n">
        <v>8490.18</v>
      </c>
      <c r="C10" s="121" t="n">
        <v>2652.75</v>
      </c>
      <c r="D10" s="120" t="n">
        <v>9</v>
      </c>
      <c r="E10" s="122" t="n">
        <v>0.12</v>
      </c>
      <c r="F10" s="120" t="s">
        <v>31</v>
      </c>
      <c r="G10" s="123" t="s">
        <v>243</v>
      </c>
    </row>
    <row r="11" customFormat="false" ht="15" hidden="false" customHeight="false" outlineLevel="0" collapsed="false">
      <c r="A11" s="120" t="s">
        <v>83</v>
      </c>
      <c r="B11" s="121" t="n">
        <v>8339</v>
      </c>
      <c r="C11" s="121" t="n">
        <v>2988.71</v>
      </c>
      <c r="D11" s="120" t="n">
        <v>9</v>
      </c>
      <c r="E11" s="122" t="n">
        <v>0.09</v>
      </c>
      <c r="F11" s="120" t="s">
        <v>29</v>
      </c>
      <c r="G11" s="123" t="s">
        <v>243</v>
      </c>
    </row>
    <row r="12" customFormat="false" ht="15" hidden="false" customHeight="false" outlineLevel="0" collapsed="false">
      <c r="A12" s="124" t="s">
        <v>88</v>
      </c>
      <c r="B12" s="125" t="n">
        <v>7928.71</v>
      </c>
      <c r="C12" s="125" t="n">
        <v>2965.48</v>
      </c>
      <c r="D12" s="124" t="n">
        <v>9</v>
      </c>
      <c r="E12" s="126" t="n">
        <v>0.09</v>
      </c>
      <c r="F12" s="124" t="s">
        <v>15</v>
      </c>
      <c r="G12" s="124" t="s">
        <v>244</v>
      </c>
    </row>
    <row r="13" customFormat="false" ht="15" hidden="false" customHeight="false" outlineLevel="0" collapsed="false">
      <c r="A13" s="124" t="s">
        <v>134</v>
      </c>
      <c r="B13" s="125" t="n">
        <v>7813.59</v>
      </c>
      <c r="C13" s="125" t="n">
        <v>3211.82</v>
      </c>
      <c r="D13" s="124" t="n">
        <v>7</v>
      </c>
      <c r="E13" s="126" t="n">
        <v>0.09</v>
      </c>
      <c r="F13" s="124" t="s">
        <v>35</v>
      </c>
      <c r="G13" s="124" t="s">
        <v>244</v>
      </c>
    </row>
    <row r="14" customFormat="false" ht="15" hidden="false" customHeight="false" outlineLevel="0" collapsed="false">
      <c r="A14" s="124" t="s">
        <v>132</v>
      </c>
      <c r="B14" s="125" t="n">
        <v>7583.13</v>
      </c>
      <c r="C14" s="125" t="n">
        <v>2492.1</v>
      </c>
      <c r="D14" s="124" t="n">
        <v>7</v>
      </c>
      <c r="E14" s="126" t="n">
        <v>0.16</v>
      </c>
      <c r="F14" s="124" t="s">
        <v>31</v>
      </c>
      <c r="G14" s="124" t="s">
        <v>244</v>
      </c>
    </row>
    <row r="15" customFormat="false" ht="15" hidden="false" customHeight="false" outlineLevel="0" collapsed="false">
      <c r="A15" s="124" t="s">
        <v>100</v>
      </c>
      <c r="B15" s="125" t="n">
        <v>6729.89</v>
      </c>
      <c r="C15" s="125" t="n">
        <v>2507.18</v>
      </c>
      <c r="D15" s="124" t="n">
        <v>6</v>
      </c>
      <c r="E15" s="126" t="n">
        <v>0.12</v>
      </c>
      <c r="F15" s="124" t="s">
        <v>15</v>
      </c>
      <c r="G15" s="124" t="s">
        <v>244</v>
      </c>
    </row>
    <row r="16" customFormat="false" ht="15" hidden="false" customHeight="false" outlineLevel="0" collapsed="false">
      <c r="A16" s="124" t="s">
        <v>116</v>
      </c>
      <c r="B16" s="125" t="n">
        <v>6716.52</v>
      </c>
      <c r="C16" s="125" t="n">
        <v>2327.84</v>
      </c>
      <c r="D16" s="124" t="n">
        <v>6</v>
      </c>
      <c r="E16" s="126" t="n">
        <v>0.1</v>
      </c>
      <c r="F16" s="124" t="s">
        <v>35</v>
      </c>
      <c r="G16" s="124" t="s">
        <v>244</v>
      </c>
    </row>
    <row r="17" customFormat="false" ht="15" hidden="false" customHeight="false" outlineLevel="0" collapsed="false">
      <c r="A17" s="124" t="s">
        <v>87</v>
      </c>
      <c r="B17" s="125" t="n">
        <v>6666.13</v>
      </c>
      <c r="C17" s="125" t="n">
        <v>1982.39</v>
      </c>
      <c r="D17" s="124" t="n">
        <v>6</v>
      </c>
      <c r="E17" s="126" t="n">
        <v>0.12</v>
      </c>
      <c r="F17" s="124" t="s">
        <v>31</v>
      </c>
      <c r="G17" s="124" t="s">
        <v>244</v>
      </c>
    </row>
    <row r="18" customFormat="false" ht="15" hidden="false" customHeight="false" outlineLevel="0" collapsed="false">
      <c r="A18" s="124" t="s">
        <v>92</v>
      </c>
      <c r="B18" s="125" t="n">
        <v>6549.55</v>
      </c>
      <c r="C18" s="125" t="n">
        <v>1868.77</v>
      </c>
      <c r="D18" s="124" t="n">
        <v>7</v>
      </c>
      <c r="E18" s="126" t="n">
        <v>0.14</v>
      </c>
      <c r="F18" s="124" t="s">
        <v>33</v>
      </c>
      <c r="G18" s="124" t="s">
        <v>244</v>
      </c>
    </row>
    <row r="19" customFormat="false" ht="15" hidden="false" customHeight="false" outlineLevel="0" collapsed="false">
      <c r="A19" s="127" t="s">
        <v>96</v>
      </c>
      <c r="B19" s="128" t="n">
        <v>6505.2</v>
      </c>
      <c r="C19" s="128" t="n">
        <v>2052.54</v>
      </c>
      <c r="D19" s="127" t="n">
        <v>7</v>
      </c>
      <c r="E19" s="129" t="n">
        <v>0.1</v>
      </c>
      <c r="F19" s="127" t="s">
        <v>15</v>
      </c>
      <c r="G19" s="127" t="s">
        <v>245</v>
      </c>
    </row>
    <row r="20" customFormat="false" ht="15" hidden="false" customHeight="false" outlineLevel="0" collapsed="false">
      <c r="A20" s="127" t="s">
        <v>127</v>
      </c>
      <c r="B20" s="128" t="n">
        <v>6481.43</v>
      </c>
      <c r="C20" s="128" t="n">
        <v>2210.74</v>
      </c>
      <c r="D20" s="127" t="n">
        <v>6</v>
      </c>
      <c r="E20" s="129" t="n">
        <v>0.08</v>
      </c>
      <c r="F20" s="127" t="s">
        <v>15</v>
      </c>
      <c r="G20" s="127" t="s">
        <v>245</v>
      </c>
    </row>
    <row r="21" customFormat="false" ht="15" hidden="false" customHeight="false" outlineLevel="0" collapsed="false">
      <c r="A21" s="127" t="s">
        <v>102</v>
      </c>
      <c r="B21" s="128" t="n">
        <v>5913.68</v>
      </c>
      <c r="C21" s="128" t="n">
        <v>2198.62</v>
      </c>
      <c r="D21" s="127" t="n">
        <v>7</v>
      </c>
      <c r="E21" s="129" t="n">
        <v>0.08</v>
      </c>
      <c r="F21" s="127" t="s">
        <v>33</v>
      </c>
      <c r="G21" s="127" t="s">
        <v>245</v>
      </c>
    </row>
    <row r="22" customFormat="false" ht="15" hidden="false" customHeight="false" outlineLevel="0" collapsed="false">
      <c r="A22" s="127" t="s">
        <v>103</v>
      </c>
      <c r="B22" s="128" t="n">
        <v>5779.05</v>
      </c>
      <c r="C22" s="128" t="n">
        <v>1611.66</v>
      </c>
      <c r="D22" s="127" t="n">
        <v>7</v>
      </c>
      <c r="E22" s="129" t="n">
        <v>0.14</v>
      </c>
      <c r="F22" s="127" t="s">
        <v>31</v>
      </c>
      <c r="G22" s="127" t="s">
        <v>245</v>
      </c>
    </row>
    <row r="23" customFormat="false" ht="15" hidden="false" customHeight="false" outlineLevel="0" collapsed="false">
      <c r="A23" s="127" t="s">
        <v>137</v>
      </c>
      <c r="B23" s="128" t="n">
        <v>4951.89</v>
      </c>
      <c r="C23" s="128" t="n">
        <v>1821.64</v>
      </c>
      <c r="D23" s="127" t="n">
        <v>5</v>
      </c>
      <c r="E23" s="129" t="n">
        <v>0.12</v>
      </c>
      <c r="F23" s="127" t="s">
        <v>15</v>
      </c>
      <c r="G23" s="127" t="s">
        <v>245</v>
      </c>
    </row>
    <row r="24" customFormat="false" ht="15" hidden="false" customHeight="false" outlineLevel="0" collapsed="false">
      <c r="A24" s="127" t="s">
        <v>81</v>
      </c>
      <c r="B24" s="128" t="n">
        <v>4640.11</v>
      </c>
      <c r="C24" s="128" t="n">
        <v>1721.12</v>
      </c>
      <c r="D24" s="127" t="n">
        <v>5</v>
      </c>
      <c r="E24" s="129" t="n">
        <v>0.08</v>
      </c>
      <c r="F24" s="127" t="s">
        <v>15</v>
      </c>
      <c r="G24" s="127" t="s">
        <v>245</v>
      </c>
    </row>
    <row r="25" customFormat="false" ht="15" hidden="false" customHeight="false" outlineLevel="0" collapsed="false">
      <c r="A25" s="127" t="s">
        <v>111</v>
      </c>
      <c r="B25" s="128" t="n">
        <v>4418.28</v>
      </c>
      <c r="C25" s="128" t="n">
        <v>1605.23</v>
      </c>
      <c r="D25" s="127" t="n">
        <v>5</v>
      </c>
      <c r="E25" s="129" t="n">
        <v>0.08</v>
      </c>
      <c r="F25" s="127" t="s">
        <v>15</v>
      </c>
      <c r="G25" s="127" t="s">
        <v>245</v>
      </c>
    </row>
    <row r="26" customFormat="false" ht="15" hidden="false" customHeight="false" outlineLevel="0" collapsed="false">
      <c r="A26" s="127" t="s">
        <v>130</v>
      </c>
      <c r="B26" s="128" t="n">
        <v>4413.71</v>
      </c>
      <c r="C26" s="128" t="n">
        <v>1664.79</v>
      </c>
      <c r="D26" s="127" t="n">
        <v>4</v>
      </c>
      <c r="E26" s="129" t="n">
        <v>0.01</v>
      </c>
      <c r="F26" s="127" t="s">
        <v>33</v>
      </c>
      <c r="G26" s="127" t="s">
        <v>245</v>
      </c>
    </row>
    <row r="27" customFormat="false" ht="15" hidden="false" customHeight="false" outlineLevel="0" collapsed="false">
      <c r="A27" s="127" t="s">
        <v>98</v>
      </c>
      <c r="B27" s="128" t="n">
        <v>4259.22</v>
      </c>
      <c r="C27" s="128" t="n">
        <v>1529.32</v>
      </c>
      <c r="D27" s="127" t="n">
        <v>5</v>
      </c>
      <c r="E27" s="129" t="n">
        <v>0.03</v>
      </c>
      <c r="F27" s="127" t="s">
        <v>29</v>
      </c>
      <c r="G27" s="127" t="s">
        <v>245</v>
      </c>
    </row>
    <row r="28" customFormat="false" ht="15" hidden="false" customHeight="false" outlineLevel="0" collapsed="false">
      <c r="A28" s="127" t="s">
        <v>135</v>
      </c>
      <c r="B28" s="128" t="n">
        <v>4162.44</v>
      </c>
      <c r="C28" s="128" t="n">
        <v>1605.11</v>
      </c>
      <c r="D28" s="127" t="n">
        <v>4</v>
      </c>
      <c r="E28" s="129" t="n">
        <v>0.09</v>
      </c>
      <c r="F28" s="127" t="s">
        <v>15</v>
      </c>
      <c r="G28" s="127" t="s">
        <v>245</v>
      </c>
    </row>
    <row r="29" customFormat="false" ht="15" hidden="false" customHeight="false" outlineLevel="0" collapsed="false">
      <c r="A29" s="127" t="s">
        <v>136</v>
      </c>
      <c r="B29" s="128" t="n">
        <v>3906.04</v>
      </c>
      <c r="C29" s="128" t="n">
        <v>1240.65</v>
      </c>
      <c r="D29" s="127" t="n">
        <v>5</v>
      </c>
      <c r="E29" s="129" t="n">
        <v>0.1</v>
      </c>
      <c r="F29" s="127" t="s">
        <v>31</v>
      </c>
      <c r="G29" s="127" t="s">
        <v>245</v>
      </c>
    </row>
    <row r="30" customFormat="false" ht="15" hidden="false" customHeight="false" outlineLevel="0" collapsed="false">
      <c r="A30" s="127" t="s">
        <v>125</v>
      </c>
      <c r="B30" s="128" t="n">
        <v>3762.29</v>
      </c>
      <c r="C30" s="128" t="n">
        <v>1545.04</v>
      </c>
      <c r="D30" s="127" t="n">
        <v>4</v>
      </c>
      <c r="E30" s="129" t="n">
        <v>0.05</v>
      </c>
      <c r="F30" s="127" t="s">
        <v>15</v>
      </c>
      <c r="G30" s="127" t="s">
        <v>245</v>
      </c>
    </row>
    <row r="31" customFormat="false" ht="15" hidden="false" customHeight="false" outlineLevel="0" collapsed="false">
      <c r="A31" s="127" t="s">
        <v>85</v>
      </c>
      <c r="B31" s="128" t="n">
        <v>3419.2</v>
      </c>
      <c r="C31" s="128" t="n">
        <v>1257.21</v>
      </c>
      <c r="D31" s="127" t="n">
        <v>4</v>
      </c>
      <c r="E31" s="129" t="n">
        <v>0.08</v>
      </c>
      <c r="F31" s="127" t="s">
        <v>15</v>
      </c>
      <c r="G31" s="127" t="s">
        <v>245</v>
      </c>
    </row>
    <row r="32" customFormat="false" ht="15" hidden="false" customHeight="false" outlineLevel="0" collapsed="false">
      <c r="A32" s="127" t="s">
        <v>122</v>
      </c>
      <c r="B32" s="128" t="n">
        <v>3369.17</v>
      </c>
      <c r="C32" s="128" t="n">
        <v>1497.25</v>
      </c>
      <c r="D32" s="127" t="n">
        <v>4</v>
      </c>
      <c r="E32" s="129" t="n">
        <v>0.09</v>
      </c>
      <c r="F32" s="127" t="s">
        <v>29</v>
      </c>
      <c r="G32" s="127" t="s">
        <v>245</v>
      </c>
    </row>
    <row r="33" customFormat="false" ht="15" hidden="false" customHeight="false" outlineLevel="0" collapsed="false">
      <c r="A33" s="127" t="s">
        <v>108</v>
      </c>
      <c r="B33" s="128" t="n">
        <v>2699.75</v>
      </c>
      <c r="C33" s="128" t="n">
        <v>837.06</v>
      </c>
      <c r="D33" s="127" t="n">
        <v>2</v>
      </c>
      <c r="E33" s="129" t="n">
        <v>0.17</v>
      </c>
      <c r="F33" s="127" t="s">
        <v>15</v>
      </c>
      <c r="G33" s="127" t="s">
        <v>245</v>
      </c>
    </row>
    <row r="35" customFormat="false" ht="24" hidden="false" customHeight="true" outlineLevel="0" collapsed="false">
      <c r="A35" s="118" t="s">
        <v>246</v>
      </c>
      <c r="B35" s="118"/>
      <c r="C35" s="118"/>
      <c r="D35" s="118"/>
      <c r="E35" s="118"/>
      <c r="F35" s="118"/>
      <c r="G35" s="118"/>
    </row>
    <row r="36" customFormat="false" ht="15" hidden="false" customHeight="false" outlineLevel="0" collapsed="false">
      <c r="A36" s="78" t="s">
        <v>247</v>
      </c>
      <c r="B36" s="130" t="s">
        <v>90</v>
      </c>
    </row>
    <row r="37" customFormat="false" ht="15" hidden="false" customHeight="false" outlineLevel="0" collapsed="false">
      <c r="A37" s="78" t="s">
        <v>248</v>
      </c>
      <c r="B37" s="131" t="n">
        <f aca="false">INDEX(B4:B33,MATCH(B36,A4:A33,0))</f>
        <v>9941.88</v>
      </c>
    </row>
    <row r="38" customFormat="false" ht="15" hidden="false" customHeight="false" outlineLevel="0" collapsed="false">
      <c r="A38" s="78" t="s">
        <v>249</v>
      </c>
      <c r="B38" s="131" t="n">
        <f aca="false">INDEX(C4:C33,MATCH(B36,A4:A33,0))</f>
        <v>3936.26</v>
      </c>
    </row>
    <row r="39" customFormat="false" ht="15" hidden="false" customHeight="false" outlineLevel="0" collapsed="false">
      <c r="A39" s="78" t="s">
        <v>250</v>
      </c>
      <c r="B39" s="132" t="n">
        <f aca="false">INDEX(D4:D33,MATCH(B36,A4:A33,0))</f>
        <v>10</v>
      </c>
    </row>
    <row r="40" customFormat="false" ht="15" hidden="false" customHeight="false" outlineLevel="0" collapsed="false">
      <c r="A40" s="78" t="s">
        <v>251</v>
      </c>
      <c r="B40" s="133" t="str">
        <f aca="false">INDEX(G4:G33,MATCH(B36,A4:A33,0))</f>
        <v>🔴 High-Value</v>
      </c>
    </row>
  </sheetData>
  <mergeCells count="2">
    <mergeCell ref="A1:G1"/>
    <mergeCell ref="A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7" min="2" style="0" width="18"/>
  </cols>
  <sheetData>
    <row r="1" customFormat="false" ht="24" hidden="false" customHeight="true" outlineLevel="0" collapsed="false">
      <c r="A1" s="134" t="s">
        <v>252</v>
      </c>
      <c r="B1" s="134"/>
      <c r="C1" s="134"/>
      <c r="D1" s="134"/>
      <c r="E1" s="134"/>
      <c r="F1" s="134"/>
      <c r="G1" s="134"/>
      <c r="H1" s="134"/>
    </row>
    <row r="3" customFormat="false" ht="24" hidden="false" customHeight="true" outlineLevel="0" collapsed="false">
      <c r="A3" s="134" t="s">
        <v>253</v>
      </c>
      <c r="B3" s="134"/>
      <c r="C3" s="134"/>
      <c r="D3" s="134"/>
      <c r="E3" s="134"/>
      <c r="F3" s="134"/>
      <c r="G3" s="134"/>
    </row>
    <row r="4" customFormat="false" ht="23.85" hidden="false" customHeight="false" outlineLevel="0" collapsed="false">
      <c r="A4" s="135" t="s">
        <v>254</v>
      </c>
      <c r="B4" s="136" t="s">
        <v>15</v>
      </c>
      <c r="C4" s="136" t="s">
        <v>29</v>
      </c>
      <c r="D4" s="136" t="s">
        <v>31</v>
      </c>
      <c r="E4" s="136" t="s">
        <v>33</v>
      </c>
      <c r="F4" s="136" t="s">
        <v>35</v>
      </c>
      <c r="G4" s="137" t="s">
        <v>255</v>
      </c>
    </row>
    <row r="5" customFormat="false" ht="15" hidden="false" customHeight="false" outlineLevel="0" collapsed="false">
      <c r="A5" s="138" t="s">
        <v>28</v>
      </c>
      <c r="B5" s="139" t="n">
        <v>11297.15</v>
      </c>
      <c r="C5" s="139" t="n">
        <v>12200.26</v>
      </c>
      <c r="D5" s="139" t="n">
        <v>6621.24</v>
      </c>
      <c r="E5" s="139" t="n">
        <v>4876.96</v>
      </c>
      <c r="F5" s="139" t="n">
        <v>8472.72</v>
      </c>
      <c r="G5" s="140" t="n">
        <v>43468.33</v>
      </c>
    </row>
    <row r="6" customFormat="false" ht="15" hidden="false" customHeight="false" outlineLevel="0" collapsed="false">
      <c r="A6" s="141" t="s">
        <v>34</v>
      </c>
      <c r="B6" s="142" t="n">
        <v>11389.09</v>
      </c>
      <c r="C6" s="142" t="n">
        <v>2401.45</v>
      </c>
      <c r="D6" s="142" t="n">
        <v>2869.54</v>
      </c>
      <c r="E6" s="142" t="n">
        <v>7592.34</v>
      </c>
      <c r="F6" s="142" t="n">
        <v>8189.22</v>
      </c>
      <c r="G6" s="140" t="n">
        <v>32441.64</v>
      </c>
    </row>
    <row r="7" customFormat="false" ht="15" hidden="false" customHeight="false" outlineLevel="0" collapsed="false">
      <c r="A7" s="143" t="s">
        <v>32</v>
      </c>
      <c r="B7" s="128" t="n">
        <v>8037.01</v>
      </c>
      <c r="C7" s="128" t="n">
        <v>8422.82</v>
      </c>
      <c r="D7" s="128" t="n">
        <v>8191.71</v>
      </c>
      <c r="E7" s="128" t="n">
        <v>6978.08</v>
      </c>
      <c r="F7" s="128" t="n">
        <v>3345.8</v>
      </c>
      <c r="G7" s="140" t="n">
        <v>34975.42</v>
      </c>
    </row>
    <row r="8" customFormat="false" ht="15" hidden="false" customHeight="false" outlineLevel="0" collapsed="false">
      <c r="A8" s="66" t="s">
        <v>30</v>
      </c>
      <c r="B8" s="68" t="n">
        <v>9588.04</v>
      </c>
      <c r="C8" s="68" t="n">
        <v>8393.63</v>
      </c>
      <c r="D8" s="68" t="n">
        <v>11989.07</v>
      </c>
      <c r="E8" s="68" t="n">
        <v>7982.73</v>
      </c>
      <c r="F8" s="68" t="n">
        <v>2295.32</v>
      </c>
      <c r="G8" s="140" t="n">
        <v>40248.79</v>
      </c>
    </row>
    <row r="9" customFormat="false" ht="15" hidden="false" customHeight="false" outlineLevel="0" collapsed="false">
      <c r="A9" s="144" t="s">
        <v>14</v>
      </c>
      <c r="B9" s="145" t="n">
        <v>6691.17</v>
      </c>
      <c r="C9" s="145" t="n">
        <v>10509.43</v>
      </c>
      <c r="D9" s="145" t="n">
        <v>11372.44</v>
      </c>
      <c r="E9" s="145" t="n">
        <v>9182.78</v>
      </c>
      <c r="F9" s="145" t="n">
        <v>6327.76</v>
      </c>
      <c r="G9" s="140" t="n">
        <v>44083.58</v>
      </c>
    </row>
    <row r="10" customFormat="false" ht="15" hidden="false" customHeight="false" outlineLevel="0" collapsed="false">
      <c r="A10" s="49" t="s">
        <v>255</v>
      </c>
      <c r="B10" s="146" t="n">
        <v>47002.46</v>
      </c>
      <c r="C10" s="146" t="n">
        <v>41927.59</v>
      </c>
      <c r="D10" s="146" t="n">
        <v>41044</v>
      </c>
      <c r="E10" s="146" t="n">
        <v>36612.89</v>
      </c>
      <c r="F10" s="146" t="n">
        <v>28630.82</v>
      </c>
      <c r="G10" s="147" t="n">
        <v>195217.76</v>
      </c>
    </row>
    <row r="12" customFormat="false" ht="24" hidden="false" customHeight="true" outlineLevel="0" collapsed="false">
      <c r="A12" s="134" t="s">
        <v>256</v>
      </c>
      <c r="B12" s="134"/>
      <c r="C12" s="134"/>
      <c r="D12" s="134"/>
      <c r="E12" s="134"/>
      <c r="F12" s="134"/>
      <c r="G12" s="134"/>
    </row>
    <row r="13" customFormat="false" ht="23.85" hidden="false" customHeight="false" outlineLevel="0" collapsed="false">
      <c r="A13" s="135" t="s">
        <v>254</v>
      </c>
      <c r="B13" s="136" t="s">
        <v>15</v>
      </c>
      <c r="C13" s="136" t="s">
        <v>29</v>
      </c>
      <c r="D13" s="136" t="s">
        <v>31</v>
      </c>
      <c r="E13" s="136" t="s">
        <v>33</v>
      </c>
      <c r="F13" s="136" t="s">
        <v>35</v>
      </c>
      <c r="G13" s="137" t="s">
        <v>255</v>
      </c>
    </row>
    <row r="14" customFormat="false" ht="15" hidden="false" customHeight="false" outlineLevel="0" collapsed="false">
      <c r="A14" s="138" t="s">
        <v>28</v>
      </c>
      <c r="B14" s="139" t="n">
        <v>4201.27</v>
      </c>
      <c r="C14" s="139" t="n">
        <v>5395.6</v>
      </c>
      <c r="D14" s="139" t="n">
        <v>1515.04</v>
      </c>
      <c r="E14" s="139" t="n">
        <v>1566.46</v>
      </c>
      <c r="F14" s="139" t="n">
        <v>3390.03</v>
      </c>
      <c r="G14" s="140" t="n">
        <v>16068.4</v>
      </c>
    </row>
    <row r="15" customFormat="false" ht="15" hidden="false" customHeight="false" outlineLevel="0" collapsed="false">
      <c r="A15" s="141" t="s">
        <v>34</v>
      </c>
      <c r="B15" s="142" t="n">
        <v>4212.63</v>
      </c>
      <c r="C15" s="142" t="n">
        <v>1025.15</v>
      </c>
      <c r="D15" s="142" t="n">
        <v>662.68</v>
      </c>
      <c r="E15" s="142" t="n">
        <v>2428.08</v>
      </c>
      <c r="F15" s="142" t="n">
        <v>3310.05</v>
      </c>
      <c r="G15" s="140" t="n">
        <v>11638.59</v>
      </c>
    </row>
    <row r="16" customFormat="false" ht="15" hidden="false" customHeight="false" outlineLevel="0" collapsed="false">
      <c r="A16" s="143" t="s">
        <v>32</v>
      </c>
      <c r="B16" s="128" t="n">
        <v>2778.44</v>
      </c>
      <c r="C16" s="128" t="n">
        <v>3691.09</v>
      </c>
      <c r="D16" s="128" t="n">
        <v>1783.05</v>
      </c>
      <c r="E16" s="128" t="n">
        <v>2217.72</v>
      </c>
      <c r="F16" s="128" t="n">
        <v>1431.98</v>
      </c>
      <c r="G16" s="140" t="n">
        <v>11902.28</v>
      </c>
    </row>
    <row r="17" customFormat="false" ht="15" hidden="false" customHeight="false" outlineLevel="0" collapsed="false">
      <c r="A17" s="66" t="s">
        <v>30</v>
      </c>
      <c r="B17" s="68" t="n">
        <v>3416.81</v>
      </c>
      <c r="C17" s="68" t="n">
        <v>3944.21</v>
      </c>
      <c r="D17" s="68" t="n">
        <v>2783.44</v>
      </c>
      <c r="E17" s="68" t="n">
        <v>2540.36</v>
      </c>
      <c r="F17" s="68" t="n">
        <v>1007.09</v>
      </c>
      <c r="G17" s="140" t="n">
        <v>13691.91</v>
      </c>
    </row>
    <row r="18" customFormat="false" ht="15" hidden="false" customHeight="false" outlineLevel="0" collapsed="false">
      <c r="A18" s="144" t="s">
        <v>14</v>
      </c>
      <c r="B18" s="145" t="n">
        <v>2292.48</v>
      </c>
      <c r="C18" s="145" t="n">
        <v>4728.44</v>
      </c>
      <c r="D18" s="145" t="n">
        <v>2437.94</v>
      </c>
      <c r="E18" s="145" t="n">
        <v>2826.52</v>
      </c>
      <c r="F18" s="145" t="n">
        <v>2700.45</v>
      </c>
      <c r="G18" s="140" t="n">
        <v>14985.83</v>
      </c>
    </row>
    <row r="19" customFormat="false" ht="15" hidden="false" customHeight="false" outlineLevel="0" collapsed="false">
      <c r="A19" s="49" t="s">
        <v>255</v>
      </c>
      <c r="B19" s="146" t="n">
        <v>16901.63</v>
      </c>
      <c r="C19" s="146" t="n">
        <v>18784.49</v>
      </c>
      <c r="D19" s="146" t="n">
        <v>9182.15</v>
      </c>
      <c r="E19" s="146" t="n">
        <v>11579.14</v>
      </c>
      <c r="F19" s="146" t="n">
        <v>11839.6</v>
      </c>
      <c r="G19" s="147" t="n">
        <v>68287.01</v>
      </c>
    </row>
  </sheetData>
  <mergeCells count="3">
    <mergeCell ref="A1:H1"/>
    <mergeCell ref="A3:G3"/>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1E63"/>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s>
  <sheetData>
    <row r="1" customFormat="false" ht="24" hidden="false" customHeight="true" outlineLevel="0" collapsed="false">
      <c r="A1" s="148" t="s">
        <v>257</v>
      </c>
      <c r="B1" s="148"/>
      <c r="C1" s="148"/>
      <c r="D1" s="148"/>
      <c r="E1" s="148"/>
      <c r="F1" s="148"/>
      <c r="G1" s="148"/>
      <c r="H1" s="148"/>
      <c r="I1" s="148"/>
      <c r="J1" s="148"/>
      <c r="K1" s="148"/>
      <c r="L1" s="148"/>
    </row>
    <row r="3" customFormat="false" ht="15" hidden="false" customHeight="false" outlineLevel="0" collapsed="false">
      <c r="A3" s="149" t="s">
        <v>258</v>
      </c>
    </row>
    <row r="4" customFormat="false" ht="15" hidden="false" customHeight="false" outlineLevel="0" collapsed="false">
      <c r="A4" s="150" t="s">
        <v>20</v>
      </c>
      <c r="B4" s="150" t="s">
        <v>139</v>
      </c>
    </row>
    <row r="5" customFormat="false" ht="15" hidden="false" customHeight="false" outlineLevel="0" collapsed="false">
      <c r="A5" s="25" t="s">
        <v>28</v>
      </c>
      <c r="B5" s="62" t="n">
        <v>43468.33</v>
      </c>
    </row>
    <row r="6" customFormat="false" ht="15" hidden="false" customHeight="false" outlineLevel="0" collapsed="false">
      <c r="A6" s="25" t="s">
        <v>34</v>
      </c>
      <c r="B6" s="62" t="n">
        <v>32441.64</v>
      </c>
    </row>
    <row r="7" customFormat="false" ht="15" hidden="false" customHeight="false" outlineLevel="0" collapsed="false">
      <c r="A7" s="25" t="s">
        <v>32</v>
      </c>
      <c r="B7" s="62" t="n">
        <v>34975.42</v>
      </c>
    </row>
    <row r="8" customFormat="false" ht="15" hidden="false" customHeight="false" outlineLevel="0" collapsed="false">
      <c r="A8" s="25" t="s">
        <v>30</v>
      </c>
      <c r="B8" s="62" t="n">
        <v>40248.79</v>
      </c>
    </row>
    <row r="9" customFormat="false" ht="15" hidden="false" customHeight="false" outlineLevel="0" collapsed="false">
      <c r="A9" s="25" t="s">
        <v>14</v>
      </c>
      <c r="B9" s="62" t="n">
        <v>44083.58</v>
      </c>
    </row>
    <row r="12" customFormat="false" ht="15" hidden="false" customHeight="false" outlineLevel="0" collapsed="false">
      <c r="A12" s="149" t="s">
        <v>259</v>
      </c>
    </row>
    <row r="13" customFormat="false" ht="15" hidden="false" customHeight="false" outlineLevel="0" collapsed="false">
      <c r="A13" s="150" t="s">
        <v>260</v>
      </c>
      <c r="B13" s="150" t="s">
        <v>139</v>
      </c>
    </row>
    <row r="14" customFormat="false" ht="15" hidden="false" customHeight="false" outlineLevel="0" collapsed="false">
      <c r="A14" s="25" t="s">
        <v>15</v>
      </c>
      <c r="B14" s="62" t="n">
        <v>47002.46</v>
      </c>
    </row>
    <row r="15" customFormat="false" ht="15" hidden="false" customHeight="false" outlineLevel="0" collapsed="false">
      <c r="A15" s="25" t="s">
        <v>29</v>
      </c>
      <c r="B15" s="62" t="n">
        <v>41927.59</v>
      </c>
    </row>
    <row r="16" customFormat="false" ht="15" hidden="false" customHeight="false" outlineLevel="0" collapsed="false">
      <c r="A16" s="25" t="s">
        <v>31</v>
      </c>
      <c r="B16" s="62" t="n">
        <v>41044</v>
      </c>
    </row>
    <row r="17" customFormat="false" ht="15" hidden="false" customHeight="false" outlineLevel="0" collapsed="false">
      <c r="A17" s="25" t="s">
        <v>33</v>
      </c>
      <c r="B17" s="62" t="n">
        <v>36612.89</v>
      </c>
    </row>
    <row r="18" customFormat="false" ht="15" hidden="false" customHeight="false" outlineLevel="0" collapsed="false">
      <c r="A18" s="25" t="s">
        <v>35</v>
      </c>
      <c r="B18" s="62" t="n">
        <v>28630.82</v>
      </c>
    </row>
    <row r="22" customFormat="false" ht="15" hidden="false" customHeight="false" outlineLevel="0" collapsed="false">
      <c r="A22" s="149" t="s">
        <v>261</v>
      </c>
    </row>
    <row r="23" customFormat="false" ht="15" hidden="false" customHeight="false" outlineLevel="0" collapsed="false">
      <c r="A23" s="150" t="s">
        <v>201</v>
      </c>
      <c r="B23" s="150" t="s">
        <v>21</v>
      </c>
    </row>
    <row r="24" customFormat="false" ht="15" hidden="false" customHeight="false" outlineLevel="0" collapsed="false">
      <c r="A24" s="25" t="s">
        <v>205</v>
      </c>
      <c r="B24" s="62" t="n">
        <v>19029.96</v>
      </c>
    </row>
    <row r="25" customFormat="false" ht="15" hidden="false" customHeight="false" outlineLevel="0" collapsed="false">
      <c r="A25" s="25" t="s">
        <v>208</v>
      </c>
      <c r="B25" s="62" t="n">
        <v>18507.34</v>
      </c>
    </row>
    <row r="26" customFormat="false" ht="15" hidden="false" customHeight="false" outlineLevel="0" collapsed="false">
      <c r="A26" s="25" t="s">
        <v>210</v>
      </c>
      <c r="B26" s="62" t="n">
        <v>20187.51</v>
      </c>
    </row>
    <row r="27" customFormat="false" ht="15" hidden="false" customHeight="false" outlineLevel="0" collapsed="false">
      <c r="A27" s="25" t="s">
        <v>211</v>
      </c>
      <c r="B27" s="62" t="n">
        <v>11609.04</v>
      </c>
    </row>
    <row r="28" customFormat="false" ht="15" hidden="false" customHeight="false" outlineLevel="0" collapsed="false">
      <c r="A28" s="25" t="s">
        <v>212</v>
      </c>
      <c r="B28" s="62" t="n">
        <v>10091.7</v>
      </c>
    </row>
    <row r="29" customFormat="false" ht="15" hidden="false" customHeight="false" outlineLevel="0" collapsed="false">
      <c r="A29" s="25" t="s">
        <v>213</v>
      </c>
      <c r="B29" s="62" t="n">
        <v>20533.5</v>
      </c>
    </row>
    <row r="30" customFormat="false" ht="15" hidden="false" customHeight="false" outlineLevel="0" collapsed="false">
      <c r="A30" s="25" t="s">
        <v>214</v>
      </c>
      <c r="B30" s="62" t="n">
        <v>14215.24</v>
      </c>
    </row>
    <row r="31" customFormat="false" ht="15" hidden="false" customHeight="false" outlineLevel="0" collapsed="false">
      <c r="A31" s="25" t="s">
        <v>215</v>
      </c>
      <c r="B31" s="62" t="n">
        <v>20135.03</v>
      </c>
    </row>
    <row r="32" customFormat="false" ht="15" hidden="false" customHeight="false" outlineLevel="0" collapsed="false">
      <c r="A32" s="25" t="s">
        <v>216</v>
      </c>
      <c r="B32" s="62" t="n">
        <v>11120.04</v>
      </c>
    </row>
    <row r="33" customFormat="false" ht="15" hidden="false" customHeight="false" outlineLevel="0" collapsed="false">
      <c r="A33" s="25" t="s">
        <v>217</v>
      </c>
      <c r="B33" s="62" t="n">
        <v>14914.65</v>
      </c>
    </row>
    <row r="34" customFormat="false" ht="15" hidden="false" customHeight="false" outlineLevel="0" collapsed="false">
      <c r="A34" s="25" t="s">
        <v>218</v>
      </c>
      <c r="B34" s="62" t="n">
        <v>14006.36</v>
      </c>
    </row>
    <row r="35" customFormat="false" ht="15" hidden="false" customHeight="false" outlineLevel="0" collapsed="false">
      <c r="A35" s="25" t="s">
        <v>219</v>
      </c>
      <c r="B35" s="62" t="n">
        <v>17655.22</v>
      </c>
    </row>
    <row r="36" customFormat="false" ht="15" hidden="false" customHeight="false" outlineLevel="0" collapsed="false">
      <c r="A36" s="25" t="s">
        <v>220</v>
      </c>
      <c r="B36" s="62" t="n">
        <v>3212.17</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2026-04-27T10:00:35Z</dcterms:created>
  <dc:creator>openpyxl</dc:creator>
  <dc:description/>
  <dc:language>en-US</dc:language>
  <cp:lastModifiedBy/>
  <dcterms:modified xsi:type="dcterms:W3CDTF">2026-04-27T10:00:45Z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